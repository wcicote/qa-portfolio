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5"/>
    <sheet state="visible" name="Dashboard" sheetId="2" r:id="rId6"/>
    <sheet state="visible" name="Glossário" sheetId="3" r:id="rId7"/>
  </sheets>
  <definedNames>
    <definedName hidden="1" localSheetId="0" name="_xlnm._FilterDatabase">'Casos de Teste'!$A$1:$O$26</definedName>
  </definedNames>
  <calcPr/>
</workbook>
</file>

<file path=xl/sharedStrings.xml><?xml version="1.0" encoding="utf-8"?>
<sst xmlns="http://schemas.openxmlformats.org/spreadsheetml/2006/main" count="442" uniqueCount="248">
  <si>
    <t>ID</t>
  </si>
  <si>
    <t>Suite/Funcionalidade</t>
  </si>
  <si>
    <t>Título</t>
  </si>
  <si>
    <t>Pré-Requisitos</t>
  </si>
  <si>
    <t>Passo a Passo</t>
  </si>
  <si>
    <t>Dados de Teste</t>
  </si>
  <si>
    <t>Resultado Esperado</t>
  </si>
  <si>
    <t>Resultado Obtido</t>
  </si>
  <si>
    <t>Status</t>
  </si>
  <si>
    <t>Severidade</t>
  </si>
  <si>
    <t>Prioridade</t>
  </si>
  <si>
    <t>Evidência (Link)</t>
  </si>
  <si>
    <t>Bug ID (Jira)</t>
  </si>
  <si>
    <t>Tester</t>
  </si>
  <si>
    <t>Data de Execução</t>
  </si>
  <si>
    <t>TC-001</t>
  </si>
  <si>
    <t>SauceDemo – Autenticação</t>
  </si>
  <si>
    <t>Login com credenciais válidas</t>
  </si>
  <si>
    <t>1. Acessar https://www.saucedemo.com
2. Sistema disponível e responsivo</t>
  </si>
  <si>
    <t>1. Acessar https://www.saucedemo.com
2. Inserir usuário: standard_user
3. Inserir senha: secret_sauce
4. Clicar no botão 'Login'</t>
  </si>
  <si>
    <t>Usuário: standard_user
Senha: secret_sauce</t>
  </si>
  <si>
    <t>Usuário autenticado com sucesso.
Redirecionado para a página de produtos (/inventory.html).</t>
  </si>
  <si>
    <t>O mesmo que o esperado.</t>
  </si>
  <si>
    <t>Passou</t>
  </si>
  <si>
    <t>Alta</t>
  </si>
  <si>
    <t>P1-Alta</t>
  </si>
  <si>
    <t>TC-001.png</t>
  </si>
  <si>
    <t>—</t>
  </si>
  <si>
    <t>Wesley</t>
  </si>
  <si>
    <t>TC-002</t>
  </si>
  <si>
    <t>Login com senha incorreta</t>
  </si>
  <si>
    <t>1. Acessar https://www.saucedemo.com
2. Sistema disponível</t>
  </si>
  <si>
    <t>1. Acessar https://www.saucedemo.com
2. Inserir usuário: standard_user
3. Inserir senha: senha_errada
4. Clicar no botão 'Login'</t>
  </si>
  <si>
    <t>Usuário: standard_user
Senha: senha_errada</t>
  </si>
  <si>
    <t>Exibir mensagem de erro:
'Username and password do not match any user in this service'.
Usuário permanece na tela de login.</t>
  </si>
  <si>
    <t>TC-002.png</t>
  </si>
  <si>
    <t>TC-003</t>
  </si>
  <si>
    <t>Login com usuário bloqueado</t>
  </si>
  <si>
    <t>1. Acessar https://www.saucedemo.com
2. Usuário 'locked_out_user' bloqueado por padrão na plataforma</t>
  </si>
  <si>
    <t>1. Acessar https://www.saucedemo.com
2. Inserir usuário: locked_out_user
3. Inserir senha: secret_sauce
4. Clicar no botão 'Login'</t>
  </si>
  <si>
    <t>Usuário: locked_out_user
Senha: secret_sauce</t>
  </si>
  <si>
    <t>Exibir mensagem de erro:
'Sorry, this user has been locked out.'
Acesso negado.</t>
  </si>
  <si>
    <t>TC-003.png</t>
  </si>
  <si>
    <t>TC-004</t>
  </si>
  <si>
    <t>Login com campos vazios</t>
  </si>
  <si>
    <t>1. Acessar https://www.saucedemo.com</t>
  </si>
  <si>
    <t>1. Acessar https://www.saucedemo.com
2. Deixar campo usuário em branco
3. Deixar campo senha em branco
4. Clicar no botão 'Login'</t>
  </si>
  <si>
    <t>Usuário: (vazio)
Senha: (vazio)</t>
  </si>
  <si>
    <t>Exibir mensagem de validação:
'Username is required.'
Formulário não submetido.</t>
  </si>
  <si>
    <t>Média</t>
  </si>
  <si>
    <t>P2-Média</t>
  </si>
  <si>
    <t>TC-004.png</t>
  </si>
  <si>
    <t>TC-005</t>
  </si>
  <si>
    <t>Login com e-mail no campo usuário (boundary)</t>
  </si>
  <si>
    <t>1. Acessar https://www.saucedemo.com
2. Inserir e-mail no campo usuário: standard_user@teste.com
3. Inserir senha: secret_sauce
4. Clicar no botão 'Login'</t>
  </si>
  <si>
    <t>Usuário: standard_user@teste.com
Senha: secret_sauce</t>
  </si>
  <si>
    <t>Exibir mensagem de erro informando usuário inválido.
Acesso negado.</t>
  </si>
  <si>
    <t>Baixa</t>
  </si>
  <si>
    <t>P3-Baixa</t>
  </si>
  <si>
    <t>TC-005.png</t>
  </si>
  <si>
    <t>TC-006</t>
  </si>
  <si>
    <t>Logout após autenticação</t>
  </si>
  <si>
    <t>1. Usuário autenticado como standard_user
2. Estar na página de produtos</t>
  </si>
  <si>
    <t>1. Clicar no ícone de menu (≡) no canto superior esquerdo
2. Clicar em 'Logout'</t>
  </si>
  <si>
    <t>Usuário autenticado: standard_user</t>
  </si>
  <si>
    <t>Sessão encerrada com sucesso.
Redirecionado para a tela de login (/).
Não é possível voltar via botão 'Voltar' do navegador.</t>
  </si>
  <si>
    <t>TC-006.png</t>
  </si>
  <si>
    <t>TC-007</t>
  </si>
  <si>
    <t>SauceDemo – Carrinho &amp; Checkout</t>
  </si>
  <si>
    <t>Adicionar produto ao carrinho</t>
  </si>
  <si>
    <t>1. Localizar o produto 'Sauce Labs Backpack'
2. Clicar no botão 'Add to cart'
3. Verificar ícone do carrinho no topo</t>
  </si>
  <si>
    <t>Produto: Sauce Labs Backpack
Preço: $29.99</t>
  </si>
  <si>
    <t>Botão muda para 'Remove'.
Ícone do carrinho exibe badge com número '1'.</t>
  </si>
  <si>
    <t>Teste passou. Observação: título da página exibido como 'Swag Labs' diverge da documentação que referencia 'Sauce Labs'."</t>
  </si>
  <si>
    <t>TC-007.png</t>
  </si>
  <si>
    <t>TC-008</t>
  </si>
  <si>
    <t>Remover produto do carrinho</t>
  </si>
  <si>
    <t>1. Usuário autenticado como standard_user
2. Produto 'Sauce Labs Backpack' adicionado ao carrinho</t>
  </si>
  <si>
    <t>1. Clicar no botão 'Remove' ao lado do produto
2. Verificar ícone do carrinho</t>
  </si>
  <si>
    <t>Produto: Sauce Labs Backpack</t>
  </si>
  <si>
    <t>Botão volta para 'Add to cart'.
Badge do carrinho é removido ou decrementado.</t>
  </si>
  <si>
    <t>TC-008.png</t>
  </si>
  <si>
    <t>TC-009</t>
  </si>
  <si>
    <t>Checkout completo com dados válidos</t>
  </si>
  <si>
    <t>1. Usuário autenticado como standard_user
2. Ao menos 1 produto no carrinho</t>
  </si>
  <si>
    <t>1. Clicar no ícone do carrinho
2. Clicar em 'Checkout'
3. Preencher First Name: João
4. Preencher Last Name: Silva
5. Preencher Zip Code: 01310-100
6. Clicar em 'Continue'
7. Clicar em 'Finish'</t>
  </si>
  <si>
    <t>First Name: João
Last Name: Silva
Zip Code: 01310-100</t>
  </si>
  <si>
    <t>Pedido concluído com sucesso.
Exibir mensagem: 'Thank you for your order!'
Carrinho esvaziado.</t>
  </si>
  <si>
    <t>Crítica</t>
  </si>
  <si>
    <t>TC009.png</t>
  </si>
  <si>
    <t>TC-010</t>
  </si>
  <si>
    <t>Checkout sem preencher First Name</t>
  </si>
  <si>
    <t>1. Usuário autenticado como standard_user
2. Ao menos 1 produto no carrinho
3. Estar na tela de informações do checkout</t>
  </si>
  <si>
    <t>1. Deixar campo First Name em branco
2. Preencher Last Name: Silva
3. Preencher Zip Code: 01310-100
4. Clicar em 'Continue'</t>
  </si>
  <si>
    <t>First Name: (vazio)
Last Name: Silva
Zip Code: 01310-100</t>
  </si>
  <si>
    <t>Exibir mensagem de erro:
'First Name is required.'
Formulário não avança.</t>
  </si>
  <si>
    <t>TC-010.png</t>
  </si>
  <si>
    <t>TC-011</t>
  </si>
  <si>
    <t>Checkout sem preencher CEP</t>
  </si>
  <si>
    <t>1. Preencher First Name: João
2. Preencher Last Name: Silva
3. Deixar Zip Code em branco
4. Clicar em 'Continue'</t>
  </si>
  <si>
    <t>First Name: João
Last Name: Silva
Zip Code: (vazio)</t>
  </si>
  <si>
    <t>Exibir mensagem de erro:
'Postal Code is required.'
Formulário não avança.</t>
  </si>
  <si>
    <t>TC-011.png</t>
  </si>
  <si>
    <t>TC-012</t>
  </si>
  <si>
    <t>Ordenação de produtos por nome e preço</t>
  </si>
  <si>
    <t>1. Localizar o dropdown de ordenação (padrão: 'Name (A to Z)')
2. Selecionar 'Name (Z to A)' e validar ordem
3. Selecionar 'Price (low to high)' e validar
4. Selecionar 'Price (high to low)' e validar</t>
  </si>
  <si>
    <t>Opções: Name (A to Z), Name (Z to A), Price (low to high), Price (high to low)</t>
  </si>
  <si>
    <t>Para cada seleção, os produtos são reordenados corretamente conforme o critério escolhido.</t>
  </si>
  <si>
    <t>TC-12.png</t>
  </si>
  <si>
    <t>TC-013</t>
  </si>
  <si>
    <t>Adicionar todos os produtos ao carrinho (boundary)</t>
  </si>
  <si>
    <t>1. Usuário autenticado como standard_user
2. Estar na página de produtos (6 produtos disponíveis)</t>
  </si>
  <si>
    <t>1. Clicar em 'Add to cart' em todos os 6 produtos
2. Verificar badge do carrinho
3. Acessar o carrinho</t>
  </si>
  <si>
    <t>Total de produtos disponíveis: 6</t>
  </si>
  <si>
    <t>Badge do carrinho exibe '6'.
Carrinho lista todos os 6 produtos corretamente com seus preços.</t>
  </si>
  <si>
    <t>TC-013.png</t>
  </si>
  <si>
    <t>TC-014</t>
  </si>
  <si>
    <t>ReqRes – API Usuários</t>
  </si>
  <si>
    <t>GET /users?page=1 — listar usuários paginados</t>
  </si>
  <si>
    <t>1. API ReqRes disponível em https://reqres.in
2. Ferramenta de teste de API configurada (Postman/Insomnia)</t>
  </si>
  <si>
    <t>1. Enviar requisição GET para https://reqres.in/api/users?page=1
2. Validar status code
3. Validar estrutura do body</t>
  </si>
  <si>
    <t>Método: GET
Endpoint: https://reqres.in/api/users?page=1
Headers: Content-Type: application/json</t>
  </si>
  <si>
    <t>Status: 200 OK
Body JSON contém: 'page':1, array 'data' com 6 usuários.
Cada usuário possui: id, email, first_name, last_name, avatar.</t>
  </si>
  <si>
    <t>o mesmo que o esperado</t>
  </si>
  <si>
    <t>TC-014.png</t>
  </si>
  <si>
    <t>TC-015</t>
  </si>
  <si>
    <t>GET /users/2 — buscar usuário existente</t>
  </si>
  <si>
    <t>1. API ReqRes disponível
2. Usuário com ID 2 existe na base</t>
  </si>
  <si>
    <t>1. Enviar requisição GET para https://reqres.in/api/users/2
2. Validar status code
3. Validar dados retornados</t>
  </si>
  <si>
    <t>Método: GET
Endpoint: https://reqres.in/api/users/2</t>
  </si>
  <si>
    <t>Status: 200 OK
Body JSON contém objeto 'data' com:
id: 2, email: janet.weaver@reqres.in,
first_name: Janet, last_name: Weaver.</t>
  </si>
  <si>
    <t>TC-015.png</t>
  </si>
  <si>
    <t>TC-016</t>
  </si>
  <si>
    <t>GET /users/999 — usuário inexistente (negativo)</t>
  </si>
  <si>
    <t>1. API ReqRes disponível
2. Usuário com ID 999 não existe</t>
  </si>
  <si>
    <t>1. Enviar requisição GET para https://reqres.in/api/users/999
2. Validar status code
3. Validar body da resposta</t>
  </si>
  <si>
    <t>Método: GET
Endpoint: https://reqres.in/api/users/999</t>
  </si>
  <si>
    <t>Status: 404 Not Found
Body: {} (objeto vazio).</t>
  </si>
  <si>
    <t>TC-016.png</t>
  </si>
  <si>
    <t>TC-017</t>
  </si>
  <si>
    <t>POST /users — criar usuário com payload válido</t>
  </si>
  <si>
    <t>1. API ReqRes disponível</t>
  </si>
  <si>
    <t>1. Enviar requisição POST para https://reqres.in/api/users
2. Body: {"name": "Maria Souza", "job": "QA Engineer"}
3. Validar status code
4. Validar campos retornados</t>
  </si>
  <si>
    <t>Método: POST
Endpoint: https://reqres.in/api/users
Body:
{
  "name": "Maria Souza",
  "job": "QA Engineer"
}</t>
  </si>
  <si>
    <t>Status: 201 Created
Body JSON contém: name, job, id (gerado), createdAt.</t>
  </si>
  <si>
    <t>TC-017.png</t>
  </si>
  <si>
    <t>TC-018</t>
  </si>
  <si>
    <t>POST /users — criar usuário sem campo 'name' (negativo)</t>
  </si>
  <si>
    <t>1. Enviar requisição POST para https://reqres.in/api/users
2. Body apenas com 'job', sem 'name'
3. Validar resposta</t>
  </si>
  <si>
    <t>Método: POST
Endpoint: https://reqres.in/api/users
Body:
{
  "job": "QA Engineer"
}</t>
  </si>
  <si>
    <t>Status: 400 Bad Request
Body JSON com mensagem de erro indicando campo 'name' obrigatório.</t>
  </si>
  <si>
    <t>Status retornado: 201 Created
Body retornou: job, id, createdAt — sem rejeitar a ausência do campo 'name'
Esperado: 400 Bad Request com mensagem de campo obrigatório.
API não valida campos obrigatórios no POST /users.</t>
  </si>
  <si>
    <t>Falhou</t>
  </si>
  <si>
    <t>TC-018.png</t>
  </si>
  <si>
    <t>SCRUM-9</t>
  </si>
  <si>
    <t>TC-019</t>
  </si>
  <si>
    <t>PUT /users/2 — atualizar usuário completo</t>
  </si>
  <si>
    <t>1. API ReqRes disponível
2. Usuário com ID 2 existe</t>
  </si>
  <si>
    <t>1. Enviar requisição PUT para https://reqres.in/api/users/2
2. Body: {"name": "Janet Atualizada", "job": "Senior QA"}
3. Validar resposta</t>
  </si>
  <si>
    <t>Método: PUT
Endpoint: https://reqres.in/api/users/2
Body:
{
  "name": "Janet Atualizada",
  "job": "Senior QA"
}</t>
  </si>
  <si>
    <t>Status: 200 OK
Body JSON contém: name: 'Janet Atualizada', job: 'Senior QA', updatedAt.</t>
  </si>
  <si>
    <t>TC-019.png</t>
  </si>
  <si>
    <t>TC-020</t>
  </si>
  <si>
    <t>PATCH /users/2 — atualizar campo parcial</t>
  </si>
  <si>
    <t>1. Enviar requisição PATCH para https://reqres.in/api/users/2
2. Body apenas com 'job'
3. Validar resposta</t>
  </si>
  <si>
    <t>Método: PATCH
Endpoint: https://reqres.in/api/users/2
Body:
{
  "job": "Lead QA"
}</t>
  </si>
  <si>
    <t>Status: 200 OK
Body JSON contém: job: 'Lead QA', updatedAt.
Apenas o campo enviado é atualizado.</t>
  </si>
  <si>
    <t>TC-020.png</t>
  </si>
  <si>
    <t>TC-021</t>
  </si>
  <si>
    <t>DELETE /users/2 — deletar usuário</t>
  </si>
  <si>
    <t>1. Enviar requisição DELETE para https://reqres.in/api/users/2
2. Validar status code
3. Validar ausência de body</t>
  </si>
  <si>
    <t>Método: DELETE
Endpoint: https://reqres.in/api/users/2</t>
  </si>
  <si>
    <t>Status: 204 No Content
Body: vazio (sem conteúdo na resposta).</t>
  </si>
  <si>
    <t>TC-021.png</t>
  </si>
  <si>
    <t>TC-022</t>
  </si>
  <si>
    <t>ReqRes – API Autenticação</t>
  </si>
  <si>
    <t>POST /login — autenticação com credenciais válidas</t>
  </si>
  <si>
    <t>1. API ReqRes disponível
2. Credenciais válidas: eve.holt@reqres.in / cityslicka</t>
  </si>
  <si>
    <t>1. Enviar requisição POST para https://reqres.in/api/login
2. Body com email e password válidos
3. Validar resposta</t>
  </si>
  <si>
    <t>Método: POST
Endpoint: https://reqres.in/api/login
Body:
{
  "email": "eve.holt@reqres.in",
  "password": "cityslicka"
}</t>
  </si>
  <si>
    <t>Status: 200 OK
Body JSON contém campo 'token' com valor não nulo.</t>
  </si>
  <si>
    <t>TC-022.png</t>
  </si>
  <si>
    <t>TC-023</t>
  </si>
  <si>
    <t>POST /login — sem campo 'password' (negativo)</t>
  </si>
  <si>
    <t>1. Enviar requisição POST para https://reqres.in/api/login
2. Body apenas com 'email', sem 'password'
3. Validar resposta</t>
  </si>
  <si>
    <t>Método: POST
Endpoint: https://reqres.in/api/login
Body:
{
  "email": "eve.holt@reqres.in"
}</t>
  </si>
  <si>
    <t>Status: 400 Bad Request
Body JSON contém: {"error": "Missing password"}.</t>
  </si>
  <si>
    <t>TC-023.png</t>
  </si>
  <si>
    <t>TC-024</t>
  </si>
  <si>
    <t>POST /register — registro com dados válidos</t>
  </si>
  <si>
    <t>1. Enviar requisição POST para https://reqres.in/api/register
2. Body com email e password válidos
3. Validar resposta</t>
  </si>
  <si>
    <t>Método: POST
Endpoint: https://reqres.in/api/register
Body:
{
  "email": "eve.holt@reqres.in",
  "password": "pistol"
}</t>
  </si>
  <si>
    <t>Status: 200 OK
Body JSON contém: 'id' e 'token' com valores não nulos.</t>
  </si>
  <si>
    <t>TC-024.png</t>
  </si>
  <si>
    <t>TC-025</t>
  </si>
  <si>
    <t>POST /register — sem campo 'email' (negativo)</t>
  </si>
  <si>
    <t>1. Enviar requisição POST para https://reqres.in/api/register
2. Body apenas com 'password', sem 'email'
3. Validar resposta</t>
  </si>
  <si>
    <t>Método: POST
Endpoint: https://reqres.in/api/register
Body:
{
  "password": "pistol"
}</t>
  </si>
  <si>
    <t>Status: 400 Bad Request
Body JSON contém: {"error": "Missing email or username"}.</t>
  </si>
  <si>
    <t>TC-025.png</t>
  </si>
  <si>
    <t>TC-026</t>
  </si>
  <si>
    <t>Validar nomes e descrições dos produtos no catálogo</t>
  </si>
  <si>
    <t>1. Usuário autenticado como standard_user
2. Estar na página de produtos (/inventory.html)</t>
  </si>
  <si>
    <t>1. Realizar login com standard_user / secret_sauce
2. Na página de produtos, verificar o nome de cada produto
3. Verificar se as descrições contêm linguagem adequada ao contexto
4. Anotar qualquer nome ou descrição que contenha sintaxe de código ou linguagem técnica inesperada</t>
  </si>
  <si>
    <t>Usuário: standard_user
Produtos esperados: Sauce Labs Backpack, Bike Light, Bolt T-Shirt, Fleece Jacket, Onesie, T-Shirt (Red)
Descrições: devem ser textos comerciais compreensíveis</t>
  </si>
  <si>
    <t>Todos os produtos devem ter nomes claros e descrições em linguagem comercial adequada, sem sintaxe de código ou referências técnicas que possam confundir o usuário final.</t>
  </si>
  <si>
    <t>Produto 'Test.allTheThings() T-Shirt (Red)' contém sintaxe de função no nome.
Descrição do 'Sauce Labs Backpack' inicia com 'carry.allTheThings()' — sintaxe de código.
Comportamento identificado de forma exploratória durante TC-007.</t>
  </si>
  <si>
    <t>https://softwaretrestingcicote.atlassian.net/browse/SCRUM-7?atlOrigin=eyJpIjoiZDgyNzE4NWM3ODBkNDBjNWE0NDRlNmJlMDEwNDVlN2IiLCJwIjoiaiJ9</t>
  </si>
  <si>
    <t>SCRUM-7</t>
  </si>
  <si>
    <t>📊  QA Portfolio Dashboard — SauceDemo &amp; ReqRes</t>
  </si>
  <si>
    <t>Resumo automático · Atualiza conforme execução dos casos</t>
  </si>
  <si>
    <t>Total</t>
  </si>
  <si>
    <t>✅ Passou</t>
  </si>
  <si>
    <t>❌ Falhou</t>
  </si>
  <si>
    <t>🚫 Bloqueado</t>
  </si>
  <si>
    <t>🔄 Re-teste</t>
  </si>
  <si>
    <t>⬜ Não Iniciado</t>
  </si>
  <si>
    <t>📈 Aprovação</t>
  </si>
  <si>
    <t>RESULTADO POR SUITE</t>
  </si>
  <si>
    <t>Suite</t>
  </si>
  <si>
    <t>Bloqueado</t>
  </si>
  <si>
    <t>Não Iniciado</t>
  </si>
  <si>
    <t>% Aprovação</t>
  </si>
  <si>
    <t>RESULTADO POR SEVERIDADE</t>
  </si>
  <si>
    <t>Glossário – Campos e Valores Aceitos</t>
  </si>
  <si>
    <t>Campo</t>
  </si>
  <si>
    <t>Descrição / Valores Aceitos</t>
  </si>
  <si>
    <t>Não Iniciado | Passou | Falhou | Bloqueado | Re-teste</t>
  </si>
  <si>
    <t>Crítica | Alta | Média | Baixa</t>
  </si>
  <si>
    <t>P1-Alta | P2-Média | P3-Baixa</t>
  </si>
  <si>
    <t>URL do screenshot/vídeo (Google Drive, Confluence, etc.)</t>
  </si>
  <si>
    <t>Código do bug no Jira (ex: BUG-1234). Use '—' se não houver.</t>
  </si>
  <si>
    <t>Nome completo do responsável pela execução</t>
  </si>
  <si>
    <t>Formato AAAA-MM-DD</t>
  </si>
  <si>
    <t>Sites utilizados</t>
  </si>
  <si>
    <t>SauceDemo</t>
  </si>
  <si>
    <t>https://www.saucedemo.com — Loja fictícia para testes funcionais</t>
  </si>
  <si>
    <t>ReqRes</t>
  </si>
  <si>
    <t>https://reqres.in — API REST pública para testes de integração</t>
  </si>
  <si>
    <t>Tipos de teste</t>
  </si>
  <si>
    <t>Funcional</t>
  </si>
  <si>
    <t>Valida se o fluxo principal funciona conforme esperado</t>
  </si>
  <si>
    <t>Negativo</t>
  </si>
  <si>
    <t>Valida o comportamento com dados inválidos ou ações inesperadas</t>
  </si>
  <si>
    <t>Boundary</t>
  </si>
  <si>
    <t>Valida os limites do sistema (mínimo, máximo, extremos)</t>
  </si>
  <si>
    <t>REST/API</t>
  </si>
  <si>
    <t>Valida endpoints HTTP: status code, body, headers e contratos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</si>
</sst>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0.0%"/>
  </numFmts>
  <fonts count="35">
    <font>
      <sz val="11.0"/>
      <color theme="1"/>
      <name val="Calibri"/>
      <scheme val="minor"/>
    </font>
    <font>
      <b/>
      <sz val="10.0"/>
      <color rgb="FFFFFFFF"/>
      <name val="Arial"/>
    </font>
    <font>
      <b/>
      <sz val="9.0"/>
      <color rgb="FF1F3864"/>
      <name val="Arial"/>
    </font>
    <font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color rgb="FF276221"/>
      <name val="Calibri"/>
      <scheme val="minor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u/>
      <sz val="9.0"/>
      <color rgb="FF000000"/>
      <name val="Arial"/>
    </font>
    <font>
      <b/>
      <sz val="9.0"/>
      <color rgb="FF9C0006"/>
      <name val="Arial"/>
    </font>
    <font>
      <sz val="9.0"/>
      <color rgb="FF9C0006"/>
      <name val="Arial"/>
    </font>
    <font>
      <u/>
      <sz val="11.0"/>
      <color rgb="FF0000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5.0"/>
      <color rgb="FFFFFFFF"/>
      <name val="Arial"/>
    </font>
    <font/>
    <font>
      <i/>
      <sz val="9.0"/>
      <color rgb="FF777777"/>
      <name val="Arial"/>
    </font>
    <font>
      <b/>
      <sz val="9.0"/>
      <color rgb="FFFFFFFF"/>
      <name val="Arial"/>
    </font>
    <font>
      <b/>
      <sz val="20.0"/>
      <color rgb="FF4472C4"/>
      <name val="Arial"/>
    </font>
    <font>
      <b/>
      <sz val="20.0"/>
      <color rgb="FF70AD47"/>
      <name val="Arial"/>
    </font>
    <font>
      <b/>
      <sz val="20.0"/>
      <color rgb="FFC0392B"/>
      <name val="Arial"/>
    </font>
    <font>
      <b/>
      <sz val="20.0"/>
      <color rgb="FFE67E22"/>
      <name val="Arial"/>
    </font>
    <font>
      <b/>
      <sz val="20.0"/>
      <color rgb="FF8E44AD"/>
      <name val="Arial"/>
    </font>
    <font>
      <b/>
      <sz val="20.0"/>
      <color rgb="FF7F8C8D"/>
      <name val="Arial"/>
    </font>
    <font>
      <b/>
      <sz val="20.0"/>
      <color rgb="FF1ABC9C"/>
      <name val="Arial"/>
    </font>
    <font>
      <sz val="10.0"/>
      <color theme="1"/>
      <name val="Arial"/>
    </font>
    <font>
      <b/>
      <sz val="9.0"/>
      <color rgb="FF7D3C00"/>
      <name val="Arial"/>
    </font>
    <font>
      <b/>
      <sz val="9.0"/>
      <color rgb="FF7D6608"/>
      <name val="Arial"/>
    </font>
    <font>
      <b/>
      <sz val="9.0"/>
      <color rgb="FF1B5E20"/>
      <name val="Arial"/>
    </font>
    <font>
      <b/>
      <sz val="13.0"/>
      <color rgb="FFFFFFFF"/>
      <name val="Arial"/>
    </font>
    <font>
      <sz val="10.0"/>
      <color rgb="FF000000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8F0FE"/>
        <bgColor rgb="FFE8F0FE"/>
      </patternFill>
    </fill>
    <fill>
      <patternFill patternType="solid">
        <fgColor rgb="FFFFE0B2"/>
        <bgColor rgb="FFFFE0B2"/>
      </patternFill>
    </fill>
    <fill>
      <patternFill patternType="solid">
        <fgColor rgb="FFC7D7F8"/>
        <bgColor rgb="FFC7D7F8"/>
      </patternFill>
    </fill>
    <fill>
      <patternFill patternType="solid">
        <fgColor rgb="FFE6F4EA"/>
        <bgColor rgb="FFE6F4EA"/>
      </patternFill>
    </fill>
    <fill>
      <patternFill patternType="solid">
        <fgColor rgb="FFC5E8CC"/>
        <bgColor rgb="FFC5E8CC"/>
      </patternFill>
    </fill>
    <fill>
      <patternFill patternType="solid">
        <fgColor rgb="FFFFF3E0"/>
        <bgColor rgb="FFFFF3E0"/>
      </patternFill>
    </fill>
    <fill>
      <patternFill patternType="solid">
        <fgColor rgb="FFF8BBD0"/>
        <bgColor rgb="FFF8BBD0"/>
      </patternFill>
    </fill>
    <fill>
      <patternFill patternType="solid">
        <fgColor rgb="FFFCE4EC"/>
        <bgColor rgb="FFFCE4EC"/>
      </patternFill>
    </fill>
    <fill>
      <patternFill patternType="solid">
        <fgColor rgb="FFFFC7CE"/>
        <bgColor rgb="FFFFC7CE"/>
      </patternFill>
    </fill>
    <fill>
      <patternFill patternType="solid">
        <fgColor rgb="FFF2F6FF"/>
        <bgColor rgb="FFF2F6FF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C0392B"/>
        <bgColor rgb="FFC0392B"/>
      </patternFill>
    </fill>
    <fill>
      <patternFill patternType="solid">
        <fgColor rgb="FFE67E22"/>
        <bgColor rgb="FFE67E22"/>
      </patternFill>
    </fill>
    <fill>
      <patternFill patternType="solid">
        <fgColor rgb="FF8E44AD"/>
        <bgColor rgb="FF8E44AD"/>
      </patternFill>
    </fill>
    <fill>
      <patternFill patternType="solid">
        <fgColor rgb="FF7F8C8D"/>
        <bgColor rgb="FF7F8C8D"/>
      </patternFill>
    </fill>
    <fill>
      <patternFill patternType="solid">
        <fgColor rgb="FF1ABC9C"/>
        <bgColor rgb="FF1ABC9C"/>
      </patternFill>
    </fill>
    <fill>
      <patternFill patternType="solid">
        <fgColor rgb="FF2E4057"/>
        <bgColor rgb="FF2E4057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top" wrapText="0"/>
    </xf>
    <xf borderId="1" fillId="3" fontId="3" numFmtId="0" xfId="0" applyAlignment="1" applyBorder="1" applyFont="1">
      <alignment horizontal="left" shrinkToFit="0" vertical="top" wrapText="1"/>
    </xf>
    <xf borderId="1" fillId="3" fontId="3" numFmtId="0" xfId="0" applyAlignment="1" applyBorder="1" applyFont="1">
      <alignment horizontal="left" readingOrder="0" shrinkToFit="0" vertical="top" wrapText="1"/>
    </xf>
    <xf borderId="1" fillId="3" fontId="3" numFmtId="0" xfId="0" applyAlignment="1" applyBorder="1" applyFont="1">
      <alignment horizontal="center" readingOrder="0" shrinkToFit="0" vertical="top" wrapText="1"/>
    </xf>
    <xf borderId="1" fillId="3" fontId="3" numFmtId="0" xfId="0" applyAlignment="1" applyBorder="1" applyFont="1">
      <alignment horizontal="center" shrinkToFit="0" vertical="top" wrapText="1"/>
    </xf>
    <xf borderId="1" fillId="3" fontId="4" numFmtId="0" xfId="0" applyAlignment="1" applyBorder="1" applyFont="1">
      <alignment horizontal="left" readingOrder="0" shrinkToFit="0" vertical="top" wrapText="1"/>
    </xf>
    <xf borderId="1" fillId="4" fontId="3" numFmtId="164" xfId="0" applyAlignment="1" applyBorder="1" applyFill="1" applyFont="1" applyNumberFormat="1">
      <alignment horizontal="center" readingOrder="0" shrinkToFit="0" vertical="top" wrapText="1"/>
    </xf>
    <xf borderId="1" fillId="5" fontId="2" numFmtId="0" xfId="0" applyAlignment="1" applyBorder="1" applyFill="1" applyFont="1">
      <alignment horizontal="center" shrinkToFit="0" vertical="top" wrapText="0"/>
    </xf>
    <xf borderId="1" fillId="5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center" readingOrder="0" shrinkToFit="0" vertical="top" wrapText="1"/>
    </xf>
    <xf borderId="1" fillId="5" fontId="3" numFmtId="0" xfId="0" applyAlignment="1" applyBorder="1" applyFont="1">
      <alignment horizontal="center" shrinkToFit="0" vertical="top" wrapText="1"/>
    </xf>
    <xf borderId="1" fillId="5" fontId="5" numFmtId="0" xfId="0" applyAlignment="1" applyBorder="1" applyFont="1">
      <alignment horizontal="left" readingOrder="0" shrinkToFit="0" vertical="top" wrapText="1"/>
    </xf>
    <xf borderId="1" fillId="5" fontId="3" numFmtId="0" xfId="0" applyAlignment="1" applyBorder="1" applyFont="1">
      <alignment horizontal="left" readingOrder="0" shrinkToFit="0" vertical="top" wrapText="1"/>
    </xf>
    <xf borderId="1" fillId="6" fontId="2" numFmtId="0" xfId="0" applyAlignment="1" applyBorder="1" applyFill="1" applyFont="1">
      <alignment horizontal="center" shrinkToFit="0" vertical="top" wrapText="0"/>
    </xf>
    <xf borderId="1" fillId="6" fontId="3" numFmtId="0" xfId="0" applyAlignment="1" applyBorder="1" applyFont="1">
      <alignment horizontal="left" shrinkToFit="0" vertical="top" wrapText="1"/>
    </xf>
    <xf borderId="1" fillId="6" fontId="3" numFmtId="0" xfId="0" applyAlignment="1" applyBorder="1" applyFont="1">
      <alignment horizontal="center" readingOrder="0" shrinkToFit="0" vertical="top" wrapText="1"/>
    </xf>
    <xf borderId="1" fillId="6" fontId="3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readingOrder="0"/>
    </xf>
    <xf borderId="1" fillId="7" fontId="2" numFmtId="0" xfId="0" applyAlignment="1" applyBorder="1" applyFill="1" applyFont="1">
      <alignment horizontal="center" shrinkToFit="0" vertical="top" wrapText="0"/>
    </xf>
    <xf borderId="1" fillId="7" fontId="3" numFmtId="0" xfId="0" applyAlignment="1" applyBorder="1" applyFont="1">
      <alignment horizontal="left" shrinkToFit="0" vertical="top" wrapText="1"/>
    </xf>
    <xf borderId="1" fillId="7" fontId="3" numFmtId="0" xfId="0" applyAlignment="1" applyBorder="1" applyFont="1">
      <alignment horizontal="center" readingOrder="0" shrinkToFit="0" vertical="top" wrapText="1"/>
    </xf>
    <xf borderId="1" fillId="7" fontId="3" numFmtId="0" xfId="0" applyAlignment="1" applyBorder="1" applyFont="1">
      <alignment horizontal="center" shrinkToFit="0" vertical="top" wrapText="1"/>
    </xf>
    <xf borderId="1" fillId="7" fontId="7" numFmtId="0" xfId="0" applyAlignment="1" applyBorder="1" applyFont="1">
      <alignment horizontal="left" readingOrder="0" shrinkToFit="0" vertical="top" wrapText="1"/>
    </xf>
    <xf borderId="1" fillId="6" fontId="8" numFmtId="0" xfId="0" applyAlignment="1" applyBorder="1" applyFont="1">
      <alignment horizontal="left" readingOrder="0" shrinkToFit="0" vertical="top" wrapText="1"/>
    </xf>
    <xf borderId="1" fillId="6" fontId="3" numFmtId="0" xfId="0" applyAlignment="1" applyBorder="1" applyFont="1">
      <alignment horizontal="left" readingOrder="0" shrinkToFit="0" vertical="top" wrapText="1"/>
    </xf>
    <xf borderId="1" fillId="7" fontId="3" numFmtId="0" xfId="0" applyAlignment="1" applyBorder="1" applyFont="1">
      <alignment horizontal="left" readingOrder="0" shrinkToFit="0" vertical="top" wrapText="1"/>
    </xf>
    <xf borderId="1" fillId="4" fontId="2" numFmtId="0" xfId="0" applyAlignment="1" applyBorder="1" applyFont="1">
      <alignment horizontal="center" shrinkToFit="0" vertical="top" wrapText="0"/>
    </xf>
    <xf borderId="1" fillId="4" fontId="3" numFmtId="0" xfId="0" applyAlignment="1" applyBorder="1" applyFont="1">
      <alignment horizontal="left" shrinkToFit="0" vertical="top" wrapText="1"/>
    </xf>
    <xf borderId="1" fillId="4" fontId="3" numFmtId="0" xfId="0" applyAlignment="1" applyBorder="1" applyFont="1">
      <alignment horizontal="left" readingOrder="0" shrinkToFit="0" vertical="top" wrapText="1"/>
    </xf>
    <xf borderId="1" fillId="4" fontId="3" numFmtId="0" xfId="0" applyAlignment="1" applyBorder="1" applyFont="1">
      <alignment horizontal="center" readingOrder="0" shrinkToFit="0" vertical="top" wrapText="1"/>
    </xf>
    <xf borderId="1" fillId="4" fontId="3" numFmtId="0" xfId="0" applyAlignment="1" applyBorder="1" applyFont="1">
      <alignment horizontal="center" shrinkToFit="0" vertical="top" wrapText="1"/>
    </xf>
    <xf borderId="1" fillId="4" fontId="9" numFmtId="0" xfId="0" applyAlignment="1" applyBorder="1" applyFont="1">
      <alignment horizontal="left" readingOrder="0" shrinkToFit="0" vertical="top" wrapText="1"/>
    </xf>
    <xf borderId="1" fillId="8" fontId="2" numFmtId="0" xfId="0" applyAlignment="1" applyBorder="1" applyFill="1" applyFont="1">
      <alignment horizontal="center" shrinkToFit="0" vertical="top" wrapText="0"/>
    </xf>
    <xf borderId="1" fillId="8" fontId="3" numFmtId="0" xfId="0" applyAlignment="1" applyBorder="1" applyFont="1">
      <alignment horizontal="left" shrinkToFit="0" vertical="top" wrapText="1"/>
    </xf>
    <xf borderId="1" fillId="8" fontId="3" numFmtId="0" xfId="0" applyAlignment="1" applyBorder="1" applyFont="1">
      <alignment horizontal="left" readingOrder="0" shrinkToFit="0" vertical="top" wrapText="1"/>
    </xf>
    <xf borderId="1" fillId="8" fontId="3" numFmtId="0" xfId="0" applyAlignment="1" applyBorder="1" applyFont="1">
      <alignment horizontal="center" readingOrder="0" shrinkToFit="0" vertical="top" wrapText="1"/>
    </xf>
    <xf borderId="1" fillId="8" fontId="3" numFmtId="0" xfId="0" applyAlignment="1" applyBorder="1" applyFont="1">
      <alignment horizontal="center" shrinkToFit="0" vertical="top" wrapText="1"/>
    </xf>
    <xf borderId="1" fillId="8" fontId="10" numFmtId="0" xfId="0" applyAlignment="1" applyBorder="1" applyFont="1">
      <alignment horizontal="left" readingOrder="0" shrinkToFit="0" vertical="top" wrapText="1"/>
    </xf>
    <xf borderId="1" fillId="8" fontId="3" numFmtId="164" xfId="0" applyAlignment="1" applyBorder="1" applyFont="1" applyNumberFormat="1">
      <alignment horizontal="center" readingOrder="0" shrinkToFit="0" vertical="top" wrapText="1"/>
    </xf>
    <xf borderId="1" fillId="9" fontId="2" numFmtId="0" xfId="0" applyAlignment="1" applyBorder="1" applyFill="1" applyFont="1">
      <alignment horizontal="center" shrinkToFit="0" vertical="top" wrapText="0"/>
    </xf>
    <xf borderId="1" fillId="9" fontId="3" numFmtId="0" xfId="0" applyAlignment="1" applyBorder="1" applyFont="1">
      <alignment horizontal="left" shrinkToFit="0" vertical="top" wrapText="1"/>
    </xf>
    <xf borderId="1" fillId="9" fontId="3" numFmtId="0" xfId="0" applyAlignment="1" applyBorder="1" applyFont="1">
      <alignment horizontal="center" readingOrder="0" shrinkToFit="0" vertical="top" wrapText="1"/>
    </xf>
    <xf borderId="1" fillId="9" fontId="3" numFmtId="0" xfId="0" applyAlignment="1" applyBorder="1" applyFont="1">
      <alignment horizontal="center" shrinkToFit="0" vertical="top" wrapText="1"/>
    </xf>
    <xf borderId="1" fillId="9" fontId="11" numFmtId="0" xfId="0" applyAlignment="1" applyBorder="1" applyFont="1">
      <alignment horizontal="left" readingOrder="0" shrinkToFit="0" vertical="top" wrapText="1"/>
    </xf>
    <xf borderId="1" fillId="10" fontId="2" numFmtId="0" xfId="0" applyAlignment="1" applyBorder="1" applyFill="1" applyFont="1">
      <alignment horizontal="center" shrinkToFit="0" vertical="top" wrapText="0"/>
    </xf>
    <xf borderId="1" fillId="10" fontId="3" numFmtId="0" xfId="0" applyAlignment="1" applyBorder="1" applyFont="1">
      <alignment horizontal="left" shrinkToFit="0" vertical="top" wrapText="1"/>
    </xf>
    <xf borderId="1" fillId="10" fontId="3" numFmtId="0" xfId="0" applyAlignment="1" applyBorder="1" applyFont="1">
      <alignment horizontal="center" readingOrder="0" shrinkToFit="0" vertical="top" wrapText="1"/>
    </xf>
    <xf borderId="1" fillId="10" fontId="3" numFmtId="0" xfId="0" applyAlignment="1" applyBorder="1" applyFont="1">
      <alignment horizontal="center" shrinkToFit="0" vertical="top" wrapText="1"/>
    </xf>
    <xf borderId="1" fillId="10" fontId="12" numFmtId="0" xfId="0" applyAlignment="1" applyBorder="1" applyFont="1">
      <alignment horizontal="left" readingOrder="0" shrinkToFit="0" vertical="top" wrapText="1"/>
    </xf>
    <xf borderId="1" fillId="11" fontId="13" numFmtId="0" xfId="0" applyAlignment="1" applyBorder="1" applyFill="1" applyFont="1">
      <alignment horizontal="center" readingOrder="0" vertical="top"/>
    </xf>
    <xf borderId="1" fillId="11" fontId="14" numFmtId="0" xfId="0" applyAlignment="1" applyBorder="1" applyFont="1">
      <alignment shrinkToFit="0" vertical="top" wrapText="1"/>
    </xf>
    <xf borderId="1" fillId="11" fontId="14" numFmtId="0" xfId="0" applyAlignment="1" applyBorder="1" applyFont="1">
      <alignment readingOrder="0" shrinkToFit="0" vertical="top" wrapText="1"/>
    </xf>
    <xf borderId="1" fillId="11" fontId="14" numFmtId="0" xfId="0" applyAlignment="1" applyBorder="1" applyFont="1">
      <alignment horizontal="center" shrinkToFit="0" vertical="top" wrapText="1"/>
    </xf>
    <xf borderId="1" fillId="11" fontId="15" numFmtId="0" xfId="0" applyAlignment="1" applyBorder="1" applyFont="1">
      <alignment readingOrder="0" vertical="top"/>
    </xf>
    <xf borderId="0" fillId="0" fontId="16" numFmtId="0" xfId="0" applyAlignment="1" applyFont="1">
      <alignment vertical="bottom"/>
    </xf>
    <xf borderId="0" fillId="0" fontId="17" numFmtId="0" xfId="0" applyFont="1"/>
    <xf borderId="2" fillId="2" fontId="18" numFmtId="0" xfId="0" applyAlignment="1" applyBorder="1" applyFont="1">
      <alignment horizontal="center" shrinkToFit="0" vertical="center" wrapText="1"/>
    </xf>
    <xf borderId="3" fillId="0" fontId="19" numFmtId="0" xfId="0" applyBorder="1" applyFont="1"/>
    <xf borderId="4" fillId="0" fontId="19" numFmtId="0" xfId="0" applyBorder="1" applyFont="1"/>
    <xf borderId="2" fillId="12" fontId="20" numFmtId="0" xfId="0" applyAlignment="1" applyBorder="1" applyFill="1" applyFont="1">
      <alignment horizontal="center" shrinkToFit="0" vertical="center" wrapText="1"/>
    </xf>
    <xf borderId="1" fillId="13" fontId="21" numFmtId="0" xfId="0" applyAlignment="1" applyBorder="1" applyFill="1" applyFont="1">
      <alignment horizontal="center" shrinkToFit="0" vertical="center" wrapText="1"/>
    </xf>
    <xf borderId="1" fillId="14" fontId="21" numFmtId="0" xfId="0" applyAlignment="1" applyBorder="1" applyFill="1" applyFont="1">
      <alignment horizontal="center" shrinkToFit="0" vertical="center" wrapText="1"/>
    </xf>
    <xf borderId="1" fillId="15" fontId="21" numFmtId="0" xfId="0" applyAlignment="1" applyBorder="1" applyFill="1" applyFont="1">
      <alignment horizontal="center" shrinkToFit="0" vertical="center" wrapText="1"/>
    </xf>
    <xf borderId="1" fillId="16" fontId="21" numFmtId="0" xfId="0" applyAlignment="1" applyBorder="1" applyFill="1" applyFont="1">
      <alignment horizontal="center" shrinkToFit="0" vertical="center" wrapText="1"/>
    </xf>
    <xf borderId="1" fillId="17" fontId="21" numFmtId="0" xfId="0" applyAlignment="1" applyBorder="1" applyFill="1" applyFont="1">
      <alignment horizontal="center" shrinkToFit="0" vertical="center" wrapText="1"/>
    </xf>
    <xf borderId="1" fillId="18" fontId="21" numFmtId="0" xfId="0" applyAlignment="1" applyBorder="1" applyFill="1" applyFont="1">
      <alignment horizontal="center" shrinkToFit="0" vertical="center" wrapText="1"/>
    </xf>
    <xf borderId="1" fillId="19" fontId="21" numFmtId="0" xfId="0" applyAlignment="1" applyBorder="1" applyFill="1" applyFont="1">
      <alignment horizontal="center" shrinkToFit="0" vertical="center" wrapText="1"/>
    </xf>
    <xf borderId="1" fillId="0" fontId="22" numFmtId="0" xfId="0" applyAlignment="1" applyBorder="1" applyFont="1">
      <alignment horizontal="center" shrinkToFit="0" vertical="center" wrapText="0"/>
    </xf>
    <xf borderId="1" fillId="0" fontId="23" numFmtId="0" xfId="0" applyAlignment="1" applyBorder="1" applyFont="1">
      <alignment horizontal="center" shrinkToFit="0" vertical="center" wrapText="0"/>
    </xf>
    <xf borderId="1" fillId="0" fontId="24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center" wrapText="0"/>
    </xf>
    <xf borderId="1" fillId="0" fontId="26" numFmtId="0" xfId="0" applyAlignment="1" applyBorder="1" applyFont="1">
      <alignment horizontal="center" shrinkToFit="0" vertical="center" wrapText="0"/>
    </xf>
    <xf borderId="1" fillId="0" fontId="27" numFmtId="0" xfId="0" applyAlignment="1" applyBorder="1" applyFont="1">
      <alignment horizontal="center" shrinkToFit="0" vertical="center" wrapText="0"/>
    </xf>
    <xf borderId="1" fillId="0" fontId="28" numFmtId="165" xfId="0" applyAlignment="1" applyBorder="1" applyFont="1" applyNumberFormat="1">
      <alignment horizontal="center" shrinkToFit="0" vertical="center" wrapText="0"/>
    </xf>
    <xf borderId="2" fillId="20" fontId="1" numFmtId="0" xfId="0" applyAlignment="1" applyBorder="1" applyFill="1" applyFont="1">
      <alignment horizontal="center" shrinkToFit="0" vertical="center" wrapText="1"/>
    </xf>
    <xf borderId="1" fillId="20" fontId="21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3" fontId="29" numFmtId="0" xfId="0" applyAlignment="1" applyBorder="1" applyFont="1">
      <alignment horizontal="center" shrinkToFit="0" vertical="center" wrapText="0"/>
    </xf>
    <xf borderId="1" fillId="3" fontId="29" numFmtId="165" xfId="0" applyAlignment="1" applyBorder="1" applyFont="1" applyNumberFormat="1">
      <alignment horizontal="center" shrinkToFit="0" vertical="center" wrapText="0"/>
    </xf>
    <xf borderId="1" fillId="6" fontId="3" numFmtId="0" xfId="0" applyAlignment="1" applyBorder="1" applyFont="1">
      <alignment horizontal="left" shrinkToFit="0" vertical="center" wrapText="1"/>
    </xf>
    <xf borderId="1" fillId="6" fontId="29" numFmtId="0" xfId="0" applyAlignment="1" applyBorder="1" applyFont="1">
      <alignment horizontal="center" shrinkToFit="0" vertical="center" wrapText="0"/>
    </xf>
    <xf borderId="1" fillId="6" fontId="29" numFmtId="165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ont="1">
      <alignment horizontal="left" shrinkToFit="0" vertical="center" wrapText="1"/>
    </xf>
    <xf borderId="1" fillId="8" fontId="29" numFmtId="0" xfId="0" applyAlignment="1" applyBorder="1" applyFont="1">
      <alignment horizontal="center" shrinkToFit="0" vertical="center" wrapText="0"/>
    </xf>
    <xf borderId="1" fillId="8" fontId="29" numFmtId="165" xfId="0" applyAlignment="1" applyBorder="1" applyFont="1" applyNumberFormat="1">
      <alignment horizontal="center" shrinkToFit="0" vertical="center" wrapText="0"/>
    </xf>
    <xf borderId="1" fillId="10" fontId="3" numFmtId="0" xfId="0" applyAlignment="1" applyBorder="1" applyFont="1">
      <alignment horizontal="left" shrinkToFit="0" vertical="center" wrapText="1"/>
    </xf>
    <xf borderId="1" fillId="10" fontId="29" numFmtId="0" xfId="0" applyAlignment="1" applyBorder="1" applyFont="1">
      <alignment horizontal="center" shrinkToFit="0" vertical="center" wrapText="0"/>
    </xf>
    <xf borderId="1" fillId="10" fontId="29" numFmtId="165" xfId="0" applyAlignment="1" applyBorder="1" applyFont="1" applyNumberFormat="1">
      <alignment horizontal="center" shrinkToFit="0" vertical="center" wrapText="0"/>
    </xf>
    <xf borderId="1" fillId="11" fontId="13" numFmtId="0" xfId="0" applyAlignment="1" applyBorder="1" applyFont="1">
      <alignment horizontal="left" shrinkToFit="0" vertical="center" wrapText="1"/>
    </xf>
    <xf borderId="1" fillId="11" fontId="29" numFmtId="0" xfId="0" applyAlignment="1" applyBorder="1" applyFont="1">
      <alignment horizontal="center" shrinkToFit="0" vertical="center" wrapText="0"/>
    </xf>
    <xf borderId="1" fillId="11" fontId="29" numFmtId="165" xfId="0" applyAlignment="1" applyBorder="1" applyFont="1" applyNumberFormat="1">
      <alignment horizontal="center" shrinkToFit="0" vertical="center" wrapText="0"/>
    </xf>
    <xf borderId="1" fillId="4" fontId="30" numFmtId="0" xfId="0" applyAlignment="1" applyBorder="1" applyFont="1">
      <alignment horizontal="left" shrinkToFit="0" vertical="center" wrapText="1"/>
    </xf>
    <xf borderId="1" fillId="4" fontId="29" numFmtId="0" xfId="0" applyAlignment="1" applyBorder="1" applyFont="1">
      <alignment horizontal="center" shrinkToFit="0" vertical="center" wrapText="0"/>
    </xf>
    <xf borderId="1" fillId="4" fontId="29" numFmtId="165" xfId="0" applyAlignment="1" applyBorder="1" applyFont="1" applyNumberFormat="1">
      <alignment horizontal="center" shrinkToFit="0" vertical="center" wrapText="0"/>
    </xf>
    <xf borderId="1" fillId="21" fontId="31" numFmtId="0" xfId="0" applyAlignment="1" applyBorder="1" applyFill="1" applyFont="1">
      <alignment horizontal="left" shrinkToFit="0" vertical="center" wrapText="1"/>
    </xf>
    <xf borderId="1" fillId="21" fontId="29" numFmtId="0" xfId="0" applyAlignment="1" applyBorder="1" applyFont="1">
      <alignment horizontal="center" shrinkToFit="0" vertical="center" wrapText="0"/>
    </xf>
    <xf borderId="1" fillId="21" fontId="29" numFmtId="165" xfId="0" applyAlignment="1" applyBorder="1" applyFont="1" applyNumberFormat="1">
      <alignment horizontal="center" shrinkToFit="0" vertical="center" wrapText="0"/>
    </xf>
    <xf borderId="1" fillId="22" fontId="32" numFmtId="0" xfId="0" applyAlignment="1" applyBorder="1" applyFill="1" applyFont="1">
      <alignment horizontal="left" shrinkToFit="0" vertical="center" wrapText="1"/>
    </xf>
    <xf borderId="1" fillId="22" fontId="29" numFmtId="0" xfId="0" applyAlignment="1" applyBorder="1" applyFont="1">
      <alignment horizontal="center" shrinkToFit="0" vertical="center" wrapText="0"/>
    </xf>
    <xf borderId="1" fillId="22" fontId="29" numFmtId="165" xfId="0" applyAlignment="1" applyBorder="1" applyFont="1" applyNumberFormat="1">
      <alignment horizontal="center" shrinkToFit="0" vertical="center" wrapText="0"/>
    </xf>
    <xf borderId="5" fillId="2" fontId="33" numFmtId="0" xfId="0" applyAlignment="1" applyBorder="1" applyFont="1">
      <alignment horizontal="center" shrinkToFit="0" vertical="center" wrapText="0"/>
    </xf>
    <xf borderId="6" fillId="0" fontId="19" numFmtId="0" xfId="0" applyBorder="1" applyFont="1"/>
    <xf borderId="1" fillId="20" fontId="1" numFmtId="0" xfId="0" applyAlignment="1" applyBorder="1" applyFont="1">
      <alignment shrinkToFit="0" vertical="center" wrapText="1"/>
    </xf>
    <xf borderId="1" fillId="23" fontId="34" numFmtId="0" xfId="0" applyAlignment="1" applyBorder="1" applyFill="1" applyFont="1">
      <alignment shrinkToFit="0" vertical="center" wrapText="1"/>
    </xf>
    <xf borderId="1" fillId="12" fontId="34" numFmtId="0" xfId="0" applyAlignment="1" applyBorder="1" applyFont="1">
      <alignment shrinkToFit="0" vertical="center" wrapText="1"/>
    </xf>
  </cellXfs>
  <cellStyles count="1">
    <cellStyle xfId="0" name="Normal" builtinId="0"/>
  </cellStyles>
  <dxfs count="4">
    <dxf>
      <font>
        <sz val="9.0"/>
        <color rgb="FF276221"/>
        <name val="Arial"/>
      </font>
      <fill>
        <patternFill patternType="solid">
          <fgColor rgb="FFC6EFCE"/>
          <bgColor rgb="FFC6EFCE"/>
        </patternFill>
      </fill>
      <border/>
    </dxf>
    <dxf>
      <font>
        <sz val="9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9.0"/>
        <color rgb="FF9C65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9.0"/>
        <color rgb="FF9C0006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lSqtkOEZgq-XB7cEAu8GQ9ZHx6UnyRe/view?usp=drive_link" TargetMode="External"/><Relationship Id="rId22" Type="http://schemas.openxmlformats.org/officeDocument/2006/relationships/hyperlink" Target="https://drive.google.com/file/d/1nRrH8JRA_S_CJSDrVPivuQkMctyB4xE5/view?usp=drive_link" TargetMode="External"/><Relationship Id="rId21" Type="http://schemas.openxmlformats.org/officeDocument/2006/relationships/hyperlink" Target="https://drive.google.com/file/d/1vPLupu292AmqcslB_DeOU4NwtsqaA9W8/view?usp=drive_link" TargetMode="External"/><Relationship Id="rId24" Type="http://schemas.openxmlformats.org/officeDocument/2006/relationships/hyperlink" Target="https://drive.google.com/file/d/1FDMPIGKSJZXFGyOizgHh8ZkGNcKiuwp7/view?usp=drive_link" TargetMode="External"/><Relationship Id="rId23" Type="http://schemas.openxmlformats.org/officeDocument/2006/relationships/hyperlink" Target="https://drive.google.com/file/d/1h4jSFuI7GQ0HG7nHxDgOF56fVUd9hqwc/view?usp=drive_link" TargetMode="External"/><Relationship Id="rId1" Type="http://schemas.openxmlformats.org/officeDocument/2006/relationships/hyperlink" Target="https://drive.google.com/file/d/1zeCTCA29r_9B1aTL1y-rlZGeDLS8gLFJ/view?usp=drive_link" TargetMode="External"/><Relationship Id="rId2" Type="http://schemas.openxmlformats.org/officeDocument/2006/relationships/hyperlink" Target="https://drive.google.com/file/d/1UFIK0KTIfbyc731iF_NvstCx0EMVmfqW/view?usp=drive_link" TargetMode="External"/><Relationship Id="rId3" Type="http://schemas.openxmlformats.org/officeDocument/2006/relationships/hyperlink" Target="https://drive.google.com/file/d/1f5Koag8v-41i_8DXxlOHNzCdRRjut7cW/view?usp=drive_link" TargetMode="External"/><Relationship Id="rId4" Type="http://schemas.openxmlformats.org/officeDocument/2006/relationships/hyperlink" Target="https://drive.google.com/file/d/1xgUEhaHPbVe6XyW0vlRHV8hNP29HDAaL/view?usp=drive_link" TargetMode="External"/><Relationship Id="rId9" Type="http://schemas.openxmlformats.org/officeDocument/2006/relationships/hyperlink" Target="https://drive.google.com/file/d/1x4hA__gvkHJaor8qWP2Z3EOh_D3ocR1d/view?usp=drive_link" TargetMode="External"/><Relationship Id="rId26" Type="http://schemas.openxmlformats.org/officeDocument/2006/relationships/hyperlink" Target="https://softwaretrestingcicote.atlassian.net/browse/SCRUM-7?atlOrigin=eyJpIjoiZDgyNzE4NWM3ODBkNDBjNWE0NDRlNmJlMDEwNDVlN2IiLCJwIjoiaiJ9" TargetMode="External"/><Relationship Id="rId25" Type="http://schemas.openxmlformats.org/officeDocument/2006/relationships/hyperlink" Target="https://drive.google.com/file/d/1qMl3tOxwda3XLTMWodf_iYT7o3nSYi8Y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spt4k6czNWe6roFKVTk-Fh3b8R3tusna/view?usp=drive_link" TargetMode="External"/><Relationship Id="rId6" Type="http://schemas.openxmlformats.org/officeDocument/2006/relationships/hyperlink" Target="https://drive.google.com/file/d/1GxqO6_rs8xh3HLHuB44wM5cWcwpiLirh/view?usp=drive_link" TargetMode="External"/><Relationship Id="rId7" Type="http://schemas.openxmlformats.org/officeDocument/2006/relationships/hyperlink" Target="https://drive.google.com/file/d/16TDTX4iaJ-fhyp1Kj17i4p5tUGXDTg-k/view?usp=drive_link" TargetMode="External"/><Relationship Id="rId8" Type="http://schemas.openxmlformats.org/officeDocument/2006/relationships/hyperlink" Target="https://drive.google.com/file/d/1odM-kscO0Gukej2ZqJIfM6MsajUThZi5/view?usp=drive_link" TargetMode="External"/><Relationship Id="rId11" Type="http://schemas.openxmlformats.org/officeDocument/2006/relationships/hyperlink" Target="https://drive.google.com/file/d/1oExS2t0GcIXIXpe5awFktChrWYJ9Wwwd/view?usp=drive_link" TargetMode="External"/><Relationship Id="rId10" Type="http://schemas.openxmlformats.org/officeDocument/2006/relationships/hyperlink" Target="https://drive.google.com/file/d/1i-k6p45q-989ZKOcCkCsMDN-0yHQDu1k/view?usp=drive_link" TargetMode="External"/><Relationship Id="rId13" Type="http://schemas.openxmlformats.org/officeDocument/2006/relationships/hyperlink" Target="https://drive.google.com/file/d/199BOg4XlU440_gktZglPRdN2Kzth2WWr/view?usp=drive_link" TargetMode="External"/><Relationship Id="rId12" Type="http://schemas.openxmlformats.org/officeDocument/2006/relationships/hyperlink" Target="https://drive.google.com/file/d/1PEinqDvotQtlZyXfNx08vkjkjHDpFBMo/view?usp=drive_link" TargetMode="External"/><Relationship Id="rId15" Type="http://schemas.openxmlformats.org/officeDocument/2006/relationships/hyperlink" Target="https://drive.google.com/file/d/1ysVgFf5S3f5YdICF9cHuqGo4ZioS3vQ1/view?usp=drive_link" TargetMode="External"/><Relationship Id="rId14" Type="http://schemas.openxmlformats.org/officeDocument/2006/relationships/hyperlink" Target="https://drive.google.com/file/d/1sbik4gY3jK2XCmtPIBh7u3P42irKLacD/view?usp=drive_link" TargetMode="External"/><Relationship Id="rId17" Type="http://schemas.openxmlformats.org/officeDocument/2006/relationships/hyperlink" Target="https://drive.google.com/file/d/114SGzGveEkKuR8vysyIYcBXYzDGFMc5d/view?usp=drive_link" TargetMode="External"/><Relationship Id="rId16" Type="http://schemas.openxmlformats.org/officeDocument/2006/relationships/hyperlink" Target="https://drive.google.com/file/d/1mpufeJyUyW_7WZjqK0IhDHGp_JszH29I/view?usp=drive_link" TargetMode="External"/><Relationship Id="rId19" Type="http://schemas.openxmlformats.org/officeDocument/2006/relationships/hyperlink" Target="https://drive.google.com/file/d/1OZwv6pXWw4FgaEW2xFaUgs-QZabSngn2/view?usp=drive_link" TargetMode="External"/><Relationship Id="rId18" Type="http://schemas.openxmlformats.org/officeDocument/2006/relationships/hyperlink" Target="https://drive.google.com/file/d/17QtWjac_orGS8XZmhnkMuUxAm8INOaMB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26.0"/>
    <col customWidth="1" min="3" max="4" width="34.0"/>
    <col customWidth="1" min="5" max="5" width="44.0"/>
    <col customWidth="1" min="6" max="6" width="34.0"/>
    <col customWidth="1" min="7" max="8" width="38.0"/>
    <col customWidth="1" min="9" max="9" width="14.0"/>
    <col customWidth="1" min="10" max="11" width="12.0"/>
    <col customWidth="1" min="12" max="12" width="24.0"/>
    <col customWidth="1" min="13" max="13" width="14.0"/>
    <col customWidth="1" min="14" max="14" width="16.0"/>
    <col customWidth="1" min="15" max="15" width="18.0"/>
    <col customWidth="1" min="16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90.0" customHeight="1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4" t="s">
        <v>22</v>
      </c>
      <c r="I2" s="5" t="s">
        <v>23</v>
      </c>
      <c r="J2" s="6" t="s">
        <v>24</v>
      </c>
      <c r="K2" s="6" t="s">
        <v>25</v>
      </c>
      <c r="L2" s="7" t="s">
        <v>26</v>
      </c>
      <c r="M2" s="3" t="s">
        <v>27</v>
      </c>
      <c r="N2" s="5" t="s">
        <v>28</v>
      </c>
      <c r="O2" s="8">
        <v>46106.0</v>
      </c>
    </row>
    <row r="3" ht="90.0" customHeight="1">
      <c r="A3" s="9" t="s">
        <v>29</v>
      </c>
      <c r="B3" s="10" t="s">
        <v>16</v>
      </c>
      <c r="C3" s="10" t="s">
        <v>30</v>
      </c>
      <c r="D3" s="10" t="s">
        <v>31</v>
      </c>
      <c r="E3" s="10" t="s">
        <v>32</v>
      </c>
      <c r="F3" s="10" t="s">
        <v>33</v>
      </c>
      <c r="G3" s="10" t="s">
        <v>34</v>
      </c>
      <c r="H3" s="4" t="s">
        <v>22</v>
      </c>
      <c r="I3" s="11" t="s">
        <v>23</v>
      </c>
      <c r="J3" s="12" t="s">
        <v>24</v>
      </c>
      <c r="K3" s="12" t="s">
        <v>25</v>
      </c>
      <c r="L3" s="13" t="s">
        <v>35</v>
      </c>
      <c r="M3" s="10" t="s">
        <v>27</v>
      </c>
      <c r="N3" s="11" t="s">
        <v>28</v>
      </c>
      <c r="O3" s="8">
        <v>46106.0</v>
      </c>
    </row>
    <row r="4" ht="90.0" customHeight="1">
      <c r="A4" s="2" t="s">
        <v>36</v>
      </c>
      <c r="B4" s="3" t="s">
        <v>16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41</v>
      </c>
      <c r="H4" s="4" t="s">
        <v>22</v>
      </c>
      <c r="I4" s="5" t="s">
        <v>23</v>
      </c>
      <c r="J4" s="6" t="s">
        <v>24</v>
      </c>
      <c r="K4" s="6" t="s">
        <v>25</v>
      </c>
      <c r="L4" s="7" t="s">
        <v>42</v>
      </c>
      <c r="M4" s="3" t="s">
        <v>27</v>
      </c>
      <c r="N4" s="5" t="s">
        <v>28</v>
      </c>
      <c r="O4" s="8">
        <v>46106.0</v>
      </c>
    </row>
    <row r="5" ht="90.0" customHeight="1">
      <c r="A5" s="9" t="s">
        <v>43</v>
      </c>
      <c r="B5" s="10" t="s">
        <v>16</v>
      </c>
      <c r="C5" s="10" t="s">
        <v>44</v>
      </c>
      <c r="D5" s="10" t="s">
        <v>45</v>
      </c>
      <c r="E5" s="10" t="s">
        <v>46</v>
      </c>
      <c r="F5" s="10" t="s">
        <v>47</v>
      </c>
      <c r="G5" s="10" t="s">
        <v>48</v>
      </c>
      <c r="H5" s="4" t="s">
        <v>22</v>
      </c>
      <c r="I5" s="11" t="s">
        <v>23</v>
      </c>
      <c r="J5" s="12" t="s">
        <v>49</v>
      </c>
      <c r="K5" s="12" t="s">
        <v>50</v>
      </c>
      <c r="L5" s="13" t="s">
        <v>51</v>
      </c>
      <c r="M5" s="10" t="s">
        <v>27</v>
      </c>
      <c r="N5" s="5" t="s">
        <v>28</v>
      </c>
      <c r="O5" s="8">
        <v>46106.0</v>
      </c>
    </row>
    <row r="6" ht="90.0" customHeight="1">
      <c r="A6" s="2" t="s">
        <v>52</v>
      </c>
      <c r="B6" s="3" t="s">
        <v>16</v>
      </c>
      <c r="C6" s="3" t="s">
        <v>53</v>
      </c>
      <c r="D6" s="3" t="s">
        <v>45</v>
      </c>
      <c r="E6" s="3" t="s">
        <v>54</v>
      </c>
      <c r="F6" s="3" t="s">
        <v>55</v>
      </c>
      <c r="G6" s="3" t="s">
        <v>56</v>
      </c>
      <c r="H6" s="4" t="s">
        <v>22</v>
      </c>
      <c r="I6" s="5" t="s">
        <v>23</v>
      </c>
      <c r="J6" s="6" t="s">
        <v>57</v>
      </c>
      <c r="K6" s="6" t="s">
        <v>58</v>
      </c>
      <c r="L6" s="7" t="s">
        <v>59</v>
      </c>
      <c r="M6" s="3" t="s">
        <v>27</v>
      </c>
      <c r="N6" s="5" t="s">
        <v>28</v>
      </c>
      <c r="O6" s="8">
        <v>46106.0</v>
      </c>
    </row>
    <row r="7" ht="90.0" customHeight="1">
      <c r="A7" s="9" t="s">
        <v>60</v>
      </c>
      <c r="B7" s="10" t="s">
        <v>16</v>
      </c>
      <c r="C7" s="10" t="s">
        <v>61</v>
      </c>
      <c r="D7" s="10" t="s">
        <v>62</v>
      </c>
      <c r="E7" s="10" t="s">
        <v>63</v>
      </c>
      <c r="F7" s="10" t="s">
        <v>64</v>
      </c>
      <c r="G7" s="10" t="s">
        <v>65</v>
      </c>
      <c r="H7" s="14" t="s">
        <v>22</v>
      </c>
      <c r="I7" s="11" t="s">
        <v>23</v>
      </c>
      <c r="J7" s="12" t="s">
        <v>24</v>
      </c>
      <c r="K7" s="12" t="s">
        <v>25</v>
      </c>
      <c r="L7" s="13" t="s">
        <v>66</v>
      </c>
      <c r="M7" s="10" t="s">
        <v>27</v>
      </c>
      <c r="N7" s="5" t="s">
        <v>28</v>
      </c>
      <c r="O7" s="8">
        <v>46106.0</v>
      </c>
    </row>
    <row r="8" ht="90.0" customHeight="1">
      <c r="A8" s="15" t="s">
        <v>67</v>
      </c>
      <c r="B8" s="16" t="s">
        <v>68</v>
      </c>
      <c r="C8" s="16" t="s">
        <v>69</v>
      </c>
      <c r="D8" s="16" t="s">
        <v>62</v>
      </c>
      <c r="E8" s="16" t="s">
        <v>70</v>
      </c>
      <c r="F8" s="16" t="s">
        <v>71</v>
      </c>
      <c r="G8" s="16" t="s">
        <v>72</v>
      </c>
      <c r="H8" s="4" t="s">
        <v>73</v>
      </c>
      <c r="I8" s="17" t="s">
        <v>23</v>
      </c>
      <c r="J8" s="18" t="s">
        <v>24</v>
      </c>
      <c r="K8" s="18" t="s">
        <v>25</v>
      </c>
      <c r="L8" s="19" t="s">
        <v>74</v>
      </c>
      <c r="M8" s="16" t="s">
        <v>27</v>
      </c>
      <c r="N8" s="17" t="s">
        <v>28</v>
      </c>
      <c r="O8" s="8">
        <v>46106.0</v>
      </c>
    </row>
    <row r="9" ht="90.0" customHeight="1">
      <c r="A9" s="20" t="s">
        <v>75</v>
      </c>
      <c r="B9" s="21" t="s">
        <v>68</v>
      </c>
      <c r="C9" s="21" t="s">
        <v>76</v>
      </c>
      <c r="D9" s="21" t="s">
        <v>77</v>
      </c>
      <c r="E9" s="21" t="s">
        <v>78</v>
      </c>
      <c r="F9" s="21" t="s">
        <v>79</v>
      </c>
      <c r="G9" s="21" t="s">
        <v>80</v>
      </c>
      <c r="H9" s="14" t="s">
        <v>22</v>
      </c>
      <c r="I9" s="22" t="s">
        <v>23</v>
      </c>
      <c r="J9" s="23" t="s">
        <v>24</v>
      </c>
      <c r="K9" s="23" t="s">
        <v>25</v>
      </c>
      <c r="L9" s="24" t="s">
        <v>81</v>
      </c>
      <c r="M9" s="21" t="s">
        <v>27</v>
      </c>
      <c r="N9" s="17" t="s">
        <v>28</v>
      </c>
      <c r="O9" s="8">
        <v>46106.0</v>
      </c>
    </row>
    <row r="10" ht="90.0" customHeight="1">
      <c r="A10" s="15" t="s">
        <v>82</v>
      </c>
      <c r="B10" s="16" t="s">
        <v>68</v>
      </c>
      <c r="C10" s="16" t="s">
        <v>83</v>
      </c>
      <c r="D10" s="16" t="s">
        <v>84</v>
      </c>
      <c r="E10" s="16" t="s">
        <v>85</v>
      </c>
      <c r="F10" s="16" t="s">
        <v>86</v>
      </c>
      <c r="G10" s="16" t="s">
        <v>87</v>
      </c>
      <c r="H10" s="14" t="s">
        <v>22</v>
      </c>
      <c r="I10" s="17" t="s">
        <v>23</v>
      </c>
      <c r="J10" s="18" t="s">
        <v>88</v>
      </c>
      <c r="K10" s="18" t="s">
        <v>25</v>
      </c>
      <c r="L10" s="25" t="s">
        <v>89</v>
      </c>
      <c r="M10" s="16" t="s">
        <v>27</v>
      </c>
      <c r="N10" s="17" t="s">
        <v>28</v>
      </c>
      <c r="O10" s="8">
        <v>46106.0</v>
      </c>
    </row>
    <row r="11" ht="90.0" customHeight="1">
      <c r="A11" s="20" t="s">
        <v>90</v>
      </c>
      <c r="B11" s="21" t="s">
        <v>68</v>
      </c>
      <c r="C11" s="21" t="s">
        <v>91</v>
      </c>
      <c r="D11" s="21" t="s">
        <v>92</v>
      </c>
      <c r="E11" s="21" t="s">
        <v>93</v>
      </c>
      <c r="F11" s="21" t="s">
        <v>94</v>
      </c>
      <c r="G11" s="21" t="s">
        <v>95</v>
      </c>
      <c r="H11" s="14" t="s">
        <v>22</v>
      </c>
      <c r="I11" s="22" t="s">
        <v>23</v>
      </c>
      <c r="J11" s="23" t="s">
        <v>24</v>
      </c>
      <c r="K11" s="23" t="s">
        <v>25</v>
      </c>
      <c r="L11" s="24" t="s">
        <v>96</v>
      </c>
      <c r="M11" s="21" t="s">
        <v>27</v>
      </c>
      <c r="N11" s="17" t="s">
        <v>28</v>
      </c>
      <c r="O11" s="8">
        <v>46106.0</v>
      </c>
    </row>
    <row r="12" ht="90.0" customHeight="1">
      <c r="A12" s="15" t="s">
        <v>97</v>
      </c>
      <c r="B12" s="16" t="s">
        <v>68</v>
      </c>
      <c r="C12" s="16" t="s">
        <v>98</v>
      </c>
      <c r="D12" s="16" t="s">
        <v>92</v>
      </c>
      <c r="E12" s="16" t="s">
        <v>99</v>
      </c>
      <c r="F12" s="16" t="s">
        <v>100</v>
      </c>
      <c r="G12" s="16" t="s">
        <v>101</v>
      </c>
      <c r="H12" s="26" t="s">
        <v>22</v>
      </c>
      <c r="I12" s="17" t="s">
        <v>23</v>
      </c>
      <c r="J12" s="18" t="s">
        <v>24</v>
      </c>
      <c r="K12" s="18" t="s">
        <v>25</v>
      </c>
      <c r="L12" s="25" t="s">
        <v>102</v>
      </c>
      <c r="M12" s="16" t="s">
        <v>27</v>
      </c>
      <c r="N12" s="17" t="s">
        <v>28</v>
      </c>
      <c r="O12" s="8">
        <v>46106.0</v>
      </c>
    </row>
    <row r="13" ht="90.0" customHeight="1">
      <c r="A13" s="20" t="s">
        <v>103</v>
      </c>
      <c r="B13" s="21" t="s">
        <v>68</v>
      </c>
      <c r="C13" s="21" t="s">
        <v>104</v>
      </c>
      <c r="D13" s="21" t="s">
        <v>62</v>
      </c>
      <c r="E13" s="21" t="s">
        <v>105</v>
      </c>
      <c r="F13" s="21" t="s">
        <v>106</v>
      </c>
      <c r="G13" s="21" t="s">
        <v>107</v>
      </c>
      <c r="H13" s="27" t="s">
        <v>22</v>
      </c>
      <c r="I13" s="22" t="s">
        <v>23</v>
      </c>
      <c r="J13" s="23" t="s">
        <v>49</v>
      </c>
      <c r="K13" s="23" t="s">
        <v>50</v>
      </c>
      <c r="L13" s="24" t="s">
        <v>108</v>
      </c>
      <c r="M13" s="21" t="s">
        <v>27</v>
      </c>
      <c r="N13" s="17" t="s">
        <v>28</v>
      </c>
      <c r="O13" s="8">
        <v>46106.0</v>
      </c>
    </row>
    <row r="14" ht="90.0" customHeight="1">
      <c r="A14" s="15" t="s">
        <v>109</v>
      </c>
      <c r="B14" s="16" t="s">
        <v>68</v>
      </c>
      <c r="C14" s="16" t="s">
        <v>110</v>
      </c>
      <c r="D14" s="16" t="s">
        <v>111</v>
      </c>
      <c r="E14" s="16" t="s">
        <v>112</v>
      </c>
      <c r="F14" s="16" t="s">
        <v>113</v>
      </c>
      <c r="G14" s="16" t="s">
        <v>114</v>
      </c>
      <c r="H14" s="27" t="s">
        <v>22</v>
      </c>
      <c r="I14" s="17" t="s">
        <v>23</v>
      </c>
      <c r="J14" s="18" t="s">
        <v>49</v>
      </c>
      <c r="K14" s="18" t="s">
        <v>50</v>
      </c>
      <c r="L14" s="25" t="s">
        <v>115</v>
      </c>
      <c r="M14" s="16" t="s">
        <v>27</v>
      </c>
      <c r="N14" s="18"/>
      <c r="O14" s="8">
        <v>46106.0</v>
      </c>
    </row>
    <row r="15" ht="90.0" customHeight="1">
      <c r="A15" s="28" t="s">
        <v>116</v>
      </c>
      <c r="B15" s="29" t="s">
        <v>117</v>
      </c>
      <c r="C15" s="29" t="s">
        <v>118</v>
      </c>
      <c r="D15" s="29" t="s">
        <v>119</v>
      </c>
      <c r="E15" s="29" t="s">
        <v>120</v>
      </c>
      <c r="F15" s="29" t="s">
        <v>121</v>
      </c>
      <c r="G15" s="29" t="s">
        <v>122</v>
      </c>
      <c r="H15" s="30" t="s">
        <v>123</v>
      </c>
      <c r="I15" s="31" t="s">
        <v>23</v>
      </c>
      <c r="J15" s="32" t="s">
        <v>24</v>
      </c>
      <c r="K15" s="32" t="s">
        <v>25</v>
      </c>
      <c r="L15" s="33" t="s">
        <v>124</v>
      </c>
      <c r="M15" s="29" t="s">
        <v>27</v>
      </c>
      <c r="N15" s="31" t="s">
        <v>28</v>
      </c>
      <c r="O15" s="8">
        <v>46106.0</v>
      </c>
    </row>
    <row r="16" ht="90.0" customHeight="1">
      <c r="A16" s="34" t="s">
        <v>125</v>
      </c>
      <c r="B16" s="35" t="s">
        <v>117</v>
      </c>
      <c r="C16" s="35" t="s">
        <v>126</v>
      </c>
      <c r="D16" s="35" t="s">
        <v>127</v>
      </c>
      <c r="E16" s="35" t="s">
        <v>128</v>
      </c>
      <c r="F16" s="35" t="s">
        <v>129</v>
      </c>
      <c r="G16" s="35" t="s">
        <v>130</v>
      </c>
      <c r="H16" s="36" t="s">
        <v>123</v>
      </c>
      <c r="I16" s="37" t="s">
        <v>23</v>
      </c>
      <c r="J16" s="38" t="s">
        <v>24</v>
      </c>
      <c r="K16" s="38" t="s">
        <v>25</v>
      </c>
      <c r="L16" s="39" t="s">
        <v>131</v>
      </c>
      <c r="M16" s="35" t="s">
        <v>27</v>
      </c>
      <c r="N16" s="37" t="s">
        <v>28</v>
      </c>
      <c r="O16" s="40">
        <v>46106.0</v>
      </c>
    </row>
    <row r="17" ht="90.0" customHeight="1">
      <c r="A17" s="28" t="s">
        <v>132</v>
      </c>
      <c r="B17" s="29" t="s">
        <v>117</v>
      </c>
      <c r="C17" s="29" t="s">
        <v>133</v>
      </c>
      <c r="D17" s="29" t="s">
        <v>134</v>
      </c>
      <c r="E17" s="29" t="s">
        <v>135</v>
      </c>
      <c r="F17" s="29" t="s">
        <v>136</v>
      </c>
      <c r="G17" s="29" t="s">
        <v>137</v>
      </c>
      <c r="H17" s="30" t="s">
        <v>123</v>
      </c>
      <c r="I17" s="31" t="s">
        <v>23</v>
      </c>
      <c r="J17" s="32" t="s">
        <v>24</v>
      </c>
      <c r="K17" s="32" t="s">
        <v>25</v>
      </c>
      <c r="L17" s="33" t="s">
        <v>138</v>
      </c>
      <c r="M17" s="29" t="s">
        <v>27</v>
      </c>
      <c r="N17" s="31" t="s">
        <v>28</v>
      </c>
      <c r="O17" s="8">
        <v>46106.0</v>
      </c>
    </row>
    <row r="18" ht="90.0" customHeight="1">
      <c r="A18" s="34" t="s">
        <v>139</v>
      </c>
      <c r="B18" s="35" t="s">
        <v>117</v>
      </c>
      <c r="C18" s="35" t="s">
        <v>140</v>
      </c>
      <c r="D18" s="35" t="s">
        <v>141</v>
      </c>
      <c r="E18" s="35" t="s">
        <v>142</v>
      </c>
      <c r="F18" s="35" t="s">
        <v>143</v>
      </c>
      <c r="G18" s="35" t="s">
        <v>144</v>
      </c>
      <c r="H18" s="30" t="s">
        <v>123</v>
      </c>
      <c r="I18" s="37" t="s">
        <v>23</v>
      </c>
      <c r="J18" s="38" t="s">
        <v>24</v>
      </c>
      <c r="K18" s="38" t="s">
        <v>25</v>
      </c>
      <c r="L18" s="39" t="s">
        <v>145</v>
      </c>
      <c r="M18" s="35" t="s">
        <v>27</v>
      </c>
      <c r="N18" s="37" t="s">
        <v>28</v>
      </c>
      <c r="O18" s="8">
        <v>46106.0</v>
      </c>
    </row>
    <row r="19" ht="90.0" customHeight="1">
      <c r="A19" s="28" t="s">
        <v>146</v>
      </c>
      <c r="B19" s="29" t="s">
        <v>117</v>
      </c>
      <c r="C19" s="29" t="s">
        <v>147</v>
      </c>
      <c r="D19" s="29" t="s">
        <v>141</v>
      </c>
      <c r="E19" s="29" t="s">
        <v>148</v>
      </c>
      <c r="F19" s="29" t="s">
        <v>149</v>
      </c>
      <c r="G19" s="30" t="s">
        <v>150</v>
      </c>
      <c r="H19" s="30" t="s">
        <v>151</v>
      </c>
      <c r="I19" s="31" t="s">
        <v>152</v>
      </c>
      <c r="J19" s="32" t="s">
        <v>24</v>
      </c>
      <c r="K19" s="32" t="s">
        <v>50</v>
      </c>
      <c r="L19" s="33" t="s">
        <v>153</v>
      </c>
      <c r="M19" s="30" t="s">
        <v>154</v>
      </c>
      <c r="N19" s="31" t="s">
        <v>28</v>
      </c>
      <c r="O19" s="8">
        <v>46106.0</v>
      </c>
    </row>
    <row r="20" ht="90.0" customHeight="1">
      <c r="A20" s="34" t="s">
        <v>155</v>
      </c>
      <c r="B20" s="35" t="s">
        <v>117</v>
      </c>
      <c r="C20" s="35" t="s">
        <v>156</v>
      </c>
      <c r="D20" s="35" t="s">
        <v>157</v>
      </c>
      <c r="E20" s="35" t="s">
        <v>158</v>
      </c>
      <c r="F20" s="35" t="s">
        <v>159</v>
      </c>
      <c r="G20" s="35" t="s">
        <v>160</v>
      </c>
      <c r="H20" s="30" t="s">
        <v>123</v>
      </c>
      <c r="I20" s="37" t="s">
        <v>23</v>
      </c>
      <c r="J20" s="38" t="s">
        <v>24</v>
      </c>
      <c r="K20" s="38" t="s">
        <v>25</v>
      </c>
      <c r="L20" s="39" t="s">
        <v>161</v>
      </c>
      <c r="M20" s="35" t="s">
        <v>27</v>
      </c>
      <c r="N20" s="37" t="s">
        <v>28</v>
      </c>
      <c r="O20" s="8">
        <v>46106.0</v>
      </c>
    </row>
    <row r="21" ht="90.0" customHeight="1">
      <c r="A21" s="28" t="s">
        <v>162</v>
      </c>
      <c r="B21" s="29" t="s">
        <v>117</v>
      </c>
      <c r="C21" s="29" t="s">
        <v>163</v>
      </c>
      <c r="D21" s="29" t="s">
        <v>157</v>
      </c>
      <c r="E21" s="29" t="s">
        <v>164</v>
      </c>
      <c r="F21" s="29" t="s">
        <v>165</v>
      </c>
      <c r="G21" s="29" t="s">
        <v>166</v>
      </c>
      <c r="H21" s="30" t="s">
        <v>123</v>
      </c>
      <c r="I21" s="31" t="s">
        <v>23</v>
      </c>
      <c r="J21" s="32" t="s">
        <v>49</v>
      </c>
      <c r="K21" s="32" t="s">
        <v>50</v>
      </c>
      <c r="L21" s="33" t="s">
        <v>167</v>
      </c>
      <c r="M21" s="29" t="s">
        <v>27</v>
      </c>
      <c r="N21" s="37" t="s">
        <v>28</v>
      </c>
      <c r="O21" s="8">
        <v>46106.0</v>
      </c>
    </row>
    <row r="22" ht="90.0" customHeight="1">
      <c r="A22" s="34" t="s">
        <v>168</v>
      </c>
      <c r="B22" s="35" t="s">
        <v>117</v>
      </c>
      <c r="C22" s="35" t="s">
        <v>169</v>
      </c>
      <c r="D22" s="35" t="s">
        <v>157</v>
      </c>
      <c r="E22" s="35" t="s">
        <v>170</v>
      </c>
      <c r="F22" s="35" t="s">
        <v>171</v>
      </c>
      <c r="G22" s="35" t="s">
        <v>172</v>
      </c>
      <c r="H22" s="30" t="s">
        <v>123</v>
      </c>
      <c r="I22" s="37" t="s">
        <v>23</v>
      </c>
      <c r="J22" s="38" t="s">
        <v>24</v>
      </c>
      <c r="K22" s="38" t="s">
        <v>25</v>
      </c>
      <c r="L22" s="39" t="s">
        <v>173</v>
      </c>
      <c r="M22" s="35" t="s">
        <v>27</v>
      </c>
      <c r="N22" s="37" t="s">
        <v>28</v>
      </c>
      <c r="O22" s="8">
        <v>46106.0</v>
      </c>
    </row>
    <row r="23" ht="90.0" customHeight="1">
      <c r="A23" s="41" t="s">
        <v>174</v>
      </c>
      <c r="B23" s="42" t="s">
        <v>175</v>
      </c>
      <c r="C23" s="42" t="s">
        <v>176</v>
      </c>
      <c r="D23" s="42" t="s">
        <v>177</v>
      </c>
      <c r="E23" s="42" t="s">
        <v>178</v>
      </c>
      <c r="F23" s="42" t="s">
        <v>179</v>
      </c>
      <c r="G23" s="42" t="s">
        <v>180</v>
      </c>
      <c r="H23" s="30" t="s">
        <v>123</v>
      </c>
      <c r="I23" s="43" t="s">
        <v>23</v>
      </c>
      <c r="J23" s="44" t="s">
        <v>88</v>
      </c>
      <c r="K23" s="44" t="s">
        <v>25</v>
      </c>
      <c r="L23" s="45" t="s">
        <v>181</v>
      </c>
      <c r="M23" s="42" t="s">
        <v>27</v>
      </c>
      <c r="N23" s="37" t="s">
        <v>28</v>
      </c>
      <c r="O23" s="8">
        <v>46106.0</v>
      </c>
    </row>
    <row r="24" ht="90.0" customHeight="1">
      <c r="A24" s="46" t="s">
        <v>182</v>
      </c>
      <c r="B24" s="47" t="s">
        <v>175</v>
      </c>
      <c r="C24" s="47" t="s">
        <v>183</v>
      </c>
      <c r="D24" s="47" t="s">
        <v>141</v>
      </c>
      <c r="E24" s="47" t="s">
        <v>184</v>
      </c>
      <c r="F24" s="47" t="s">
        <v>185</v>
      </c>
      <c r="G24" s="47" t="s">
        <v>186</v>
      </c>
      <c r="H24" s="30" t="s">
        <v>123</v>
      </c>
      <c r="I24" s="48" t="s">
        <v>23</v>
      </c>
      <c r="J24" s="49" t="s">
        <v>88</v>
      </c>
      <c r="K24" s="49" t="s">
        <v>25</v>
      </c>
      <c r="L24" s="50" t="s">
        <v>187</v>
      </c>
      <c r="M24" s="47" t="s">
        <v>27</v>
      </c>
      <c r="N24" s="37" t="s">
        <v>28</v>
      </c>
      <c r="O24" s="8">
        <v>46106.0</v>
      </c>
    </row>
    <row r="25" ht="90.0" customHeight="1">
      <c r="A25" s="41" t="s">
        <v>188</v>
      </c>
      <c r="B25" s="42" t="s">
        <v>175</v>
      </c>
      <c r="C25" s="42" t="s">
        <v>189</v>
      </c>
      <c r="D25" s="42" t="s">
        <v>141</v>
      </c>
      <c r="E25" s="42" t="s">
        <v>190</v>
      </c>
      <c r="F25" s="42" t="s">
        <v>191</v>
      </c>
      <c r="G25" s="42" t="s">
        <v>192</v>
      </c>
      <c r="H25" s="30" t="s">
        <v>123</v>
      </c>
      <c r="I25" s="43" t="s">
        <v>23</v>
      </c>
      <c r="J25" s="44" t="s">
        <v>88</v>
      </c>
      <c r="K25" s="44" t="s">
        <v>25</v>
      </c>
      <c r="L25" s="45" t="s">
        <v>193</v>
      </c>
      <c r="M25" s="42" t="s">
        <v>27</v>
      </c>
      <c r="N25" s="37" t="s">
        <v>28</v>
      </c>
      <c r="O25" s="8">
        <v>46106.0</v>
      </c>
    </row>
    <row r="26" ht="90.0" customHeight="1">
      <c r="A26" s="46" t="s">
        <v>194</v>
      </c>
      <c r="B26" s="47" t="s">
        <v>175</v>
      </c>
      <c r="C26" s="47" t="s">
        <v>195</v>
      </c>
      <c r="D26" s="47" t="s">
        <v>141</v>
      </c>
      <c r="E26" s="47" t="s">
        <v>196</v>
      </c>
      <c r="F26" s="47" t="s">
        <v>197</v>
      </c>
      <c r="G26" s="47" t="s">
        <v>198</v>
      </c>
      <c r="H26" s="30" t="s">
        <v>123</v>
      </c>
      <c r="I26" s="48" t="s">
        <v>23</v>
      </c>
      <c r="J26" s="49" t="s">
        <v>88</v>
      </c>
      <c r="K26" s="49" t="s">
        <v>25</v>
      </c>
      <c r="L26" s="50" t="s">
        <v>199</v>
      </c>
      <c r="M26" s="47" t="s">
        <v>27</v>
      </c>
      <c r="N26" s="37" t="s">
        <v>28</v>
      </c>
      <c r="O26" s="8">
        <v>46106.0</v>
      </c>
    </row>
    <row r="27" ht="92.25" customHeight="1">
      <c r="A27" s="51" t="s">
        <v>200</v>
      </c>
      <c r="B27" s="52" t="s">
        <v>68</v>
      </c>
      <c r="C27" s="52" t="s">
        <v>201</v>
      </c>
      <c r="D27" s="52" t="s">
        <v>202</v>
      </c>
      <c r="E27" s="52" t="s">
        <v>203</v>
      </c>
      <c r="F27" s="52" t="s">
        <v>204</v>
      </c>
      <c r="G27" s="52" t="s">
        <v>205</v>
      </c>
      <c r="H27" s="53" t="s">
        <v>206</v>
      </c>
      <c r="I27" s="54" t="s">
        <v>152</v>
      </c>
      <c r="J27" s="54" t="s">
        <v>57</v>
      </c>
      <c r="K27" s="54" t="s">
        <v>58</v>
      </c>
      <c r="L27" s="55" t="s">
        <v>207</v>
      </c>
      <c r="M27" s="53" t="s">
        <v>208</v>
      </c>
      <c r="N27" s="31" t="s">
        <v>28</v>
      </c>
      <c r="O27" s="8">
        <v>46106.0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</row>
    <row r="28" ht="15.75" customHeight="1">
      <c r="I28" s="57"/>
      <c r="J28" s="57"/>
      <c r="K28" s="57"/>
    </row>
    <row r="29" ht="15.75" customHeight="1">
      <c r="I29" s="57"/>
      <c r="J29" s="57"/>
      <c r="K29" s="57"/>
    </row>
    <row r="30" ht="15.75" customHeight="1">
      <c r="I30" s="57"/>
      <c r="J30" s="57"/>
      <c r="K30" s="57"/>
    </row>
    <row r="31" ht="15.75" customHeight="1">
      <c r="I31" s="57"/>
      <c r="J31" s="57"/>
      <c r="K31" s="57"/>
    </row>
    <row r="32" ht="15.75" customHeight="1">
      <c r="I32" s="57"/>
      <c r="J32" s="57"/>
      <c r="K32" s="57"/>
    </row>
    <row r="33" ht="15.75" customHeight="1">
      <c r="I33" s="57"/>
      <c r="J33" s="57"/>
      <c r="K33" s="57"/>
    </row>
    <row r="34" ht="15.75" customHeight="1">
      <c r="I34" s="57"/>
      <c r="J34" s="57"/>
      <c r="K34" s="57"/>
    </row>
    <row r="35" ht="15.75" customHeight="1">
      <c r="I35" s="57"/>
      <c r="J35" s="57"/>
      <c r="K35" s="57"/>
    </row>
    <row r="36" ht="15.75" customHeight="1">
      <c r="I36" s="57"/>
      <c r="J36" s="57"/>
      <c r="K36" s="57"/>
    </row>
    <row r="37" ht="15.75" customHeight="1">
      <c r="I37" s="57"/>
      <c r="J37" s="57"/>
      <c r="K37" s="57"/>
    </row>
    <row r="38" ht="15.75" customHeight="1">
      <c r="I38" s="57"/>
      <c r="J38" s="57"/>
      <c r="K38" s="57"/>
    </row>
    <row r="39" ht="15.75" customHeight="1">
      <c r="I39" s="57"/>
      <c r="J39" s="57"/>
      <c r="K39" s="57"/>
    </row>
    <row r="40" ht="15.75" customHeight="1">
      <c r="I40" s="57"/>
      <c r="J40" s="57"/>
      <c r="K40" s="57"/>
    </row>
    <row r="41" ht="15.75" customHeight="1">
      <c r="I41" s="57"/>
      <c r="J41" s="57"/>
      <c r="K41" s="57"/>
    </row>
    <row r="42" ht="15.75" customHeight="1">
      <c r="I42" s="57"/>
      <c r="J42" s="57"/>
      <c r="K42" s="57"/>
    </row>
    <row r="43" ht="15.75" customHeight="1">
      <c r="I43" s="57"/>
      <c r="J43" s="57"/>
      <c r="K43" s="57"/>
    </row>
    <row r="44" ht="15.75" customHeight="1">
      <c r="I44" s="57"/>
      <c r="J44" s="57"/>
      <c r="K44" s="57"/>
    </row>
    <row r="45" ht="15.75" customHeight="1">
      <c r="I45" s="57"/>
      <c r="J45" s="57"/>
      <c r="K45" s="57"/>
    </row>
    <row r="46" ht="15.75" customHeight="1">
      <c r="I46" s="57"/>
      <c r="J46" s="57"/>
      <c r="K46" s="57"/>
    </row>
    <row r="47" ht="15.75" customHeight="1">
      <c r="I47" s="57"/>
      <c r="J47" s="57"/>
      <c r="K47" s="57"/>
    </row>
    <row r="48" ht="15.75" customHeight="1">
      <c r="I48" s="57"/>
      <c r="J48" s="57"/>
      <c r="K48" s="57"/>
    </row>
    <row r="49" ht="15.75" customHeight="1">
      <c r="I49" s="57"/>
      <c r="J49" s="57"/>
      <c r="K49" s="57"/>
    </row>
    <row r="50" ht="15.75" customHeight="1">
      <c r="I50" s="57"/>
      <c r="J50" s="57"/>
      <c r="K50" s="57"/>
    </row>
    <row r="51" ht="15.75" customHeight="1">
      <c r="I51" s="57"/>
      <c r="J51" s="57"/>
      <c r="K51" s="57"/>
    </row>
    <row r="52" ht="15.75" customHeight="1">
      <c r="I52" s="57"/>
      <c r="J52" s="57"/>
      <c r="K52" s="57"/>
    </row>
    <row r="53" ht="15.75" customHeight="1">
      <c r="I53" s="57"/>
      <c r="J53" s="57"/>
      <c r="K53" s="57"/>
    </row>
    <row r="54" ht="15.75" customHeight="1">
      <c r="I54" s="57"/>
      <c r="J54" s="57"/>
      <c r="K54" s="57"/>
    </row>
    <row r="55" ht="15.75" customHeight="1">
      <c r="I55" s="57"/>
      <c r="J55" s="57"/>
      <c r="K55" s="57"/>
    </row>
    <row r="56" ht="15.75" customHeight="1">
      <c r="I56" s="57"/>
      <c r="J56" s="57"/>
      <c r="K56" s="57"/>
    </row>
    <row r="57" ht="15.75" customHeight="1">
      <c r="I57" s="57"/>
      <c r="J57" s="57"/>
      <c r="K57" s="57"/>
    </row>
    <row r="58" ht="15.75" customHeight="1">
      <c r="I58" s="57"/>
      <c r="J58" s="57"/>
      <c r="K58" s="57"/>
    </row>
    <row r="59" ht="15.75" customHeight="1">
      <c r="I59" s="57"/>
      <c r="J59" s="57"/>
      <c r="K59" s="57"/>
    </row>
    <row r="60" ht="15.75" customHeight="1">
      <c r="I60" s="57"/>
      <c r="J60" s="57"/>
      <c r="K60" s="57"/>
    </row>
    <row r="61" ht="15.75" customHeight="1">
      <c r="I61" s="57"/>
      <c r="J61" s="57"/>
      <c r="K61" s="57"/>
    </row>
    <row r="62" ht="15.75" customHeight="1">
      <c r="I62" s="57"/>
      <c r="J62" s="57"/>
      <c r="K62" s="57"/>
    </row>
    <row r="63" ht="15.75" customHeight="1">
      <c r="I63" s="57"/>
      <c r="J63" s="57"/>
      <c r="K63" s="57"/>
    </row>
    <row r="64" ht="15.75" customHeight="1">
      <c r="I64" s="57"/>
      <c r="J64" s="57"/>
      <c r="K64" s="57"/>
    </row>
    <row r="65" ht="15.75" customHeight="1">
      <c r="I65" s="57"/>
      <c r="J65" s="57"/>
      <c r="K65" s="57"/>
    </row>
    <row r="66" ht="15.75" customHeight="1">
      <c r="I66" s="57"/>
      <c r="J66" s="57"/>
      <c r="K66" s="57"/>
    </row>
    <row r="67" ht="15.75" customHeight="1">
      <c r="I67" s="57"/>
      <c r="J67" s="57"/>
      <c r="K67" s="57"/>
    </row>
    <row r="68" ht="15.75" customHeight="1">
      <c r="I68" s="57"/>
      <c r="J68" s="57"/>
      <c r="K68" s="57"/>
    </row>
    <row r="69" ht="15.75" customHeight="1">
      <c r="I69" s="57"/>
      <c r="J69" s="57"/>
      <c r="K69" s="57"/>
    </row>
    <row r="70" ht="15.75" customHeight="1">
      <c r="I70" s="57"/>
      <c r="J70" s="57"/>
      <c r="K70" s="57"/>
    </row>
    <row r="71" ht="15.75" customHeight="1">
      <c r="I71" s="57"/>
      <c r="J71" s="57"/>
      <c r="K71" s="57"/>
    </row>
    <row r="72" ht="15.75" customHeight="1">
      <c r="I72" s="57"/>
      <c r="J72" s="57"/>
      <c r="K72" s="57"/>
    </row>
    <row r="73" ht="15.75" customHeight="1">
      <c r="I73" s="57"/>
      <c r="J73" s="57"/>
      <c r="K73" s="57"/>
    </row>
    <row r="74" ht="15.75" customHeight="1">
      <c r="I74" s="57"/>
      <c r="J74" s="57"/>
      <c r="K74" s="57"/>
    </row>
    <row r="75" ht="15.75" customHeight="1">
      <c r="I75" s="57"/>
      <c r="J75" s="57"/>
      <c r="K75" s="57"/>
    </row>
    <row r="76" ht="15.75" customHeight="1">
      <c r="I76" s="57"/>
      <c r="J76" s="57"/>
      <c r="K76" s="57"/>
    </row>
    <row r="77" ht="15.75" customHeight="1">
      <c r="I77" s="57"/>
      <c r="J77" s="57"/>
      <c r="K77" s="57"/>
    </row>
    <row r="78" ht="15.75" customHeight="1">
      <c r="I78" s="57"/>
      <c r="J78" s="57"/>
      <c r="K78" s="57"/>
    </row>
    <row r="79" ht="15.75" customHeight="1">
      <c r="I79" s="57"/>
      <c r="J79" s="57"/>
      <c r="K79" s="57"/>
    </row>
    <row r="80" ht="15.75" customHeight="1">
      <c r="I80" s="57"/>
      <c r="J80" s="57"/>
      <c r="K80" s="57"/>
    </row>
    <row r="81" ht="15.75" customHeight="1">
      <c r="I81" s="57"/>
      <c r="J81" s="57"/>
      <c r="K81" s="57"/>
    </row>
    <row r="82" ht="15.75" customHeight="1">
      <c r="I82" s="57"/>
      <c r="J82" s="57"/>
      <c r="K82" s="57"/>
    </row>
    <row r="83" ht="15.75" customHeight="1">
      <c r="I83" s="57"/>
      <c r="J83" s="57"/>
      <c r="K83" s="57"/>
    </row>
    <row r="84" ht="15.75" customHeight="1">
      <c r="I84" s="57"/>
      <c r="J84" s="57"/>
      <c r="K84" s="57"/>
    </row>
    <row r="85" ht="15.75" customHeight="1">
      <c r="I85" s="57"/>
      <c r="J85" s="57"/>
      <c r="K85" s="57"/>
    </row>
    <row r="86" ht="15.75" customHeight="1">
      <c r="I86" s="57"/>
      <c r="J86" s="57"/>
      <c r="K86" s="57"/>
    </row>
    <row r="87" ht="15.75" customHeight="1">
      <c r="I87" s="57"/>
      <c r="J87" s="57"/>
      <c r="K87" s="57"/>
    </row>
    <row r="88" ht="15.75" customHeight="1">
      <c r="I88" s="57"/>
      <c r="J88" s="57"/>
      <c r="K88" s="57"/>
    </row>
    <row r="89" ht="15.75" customHeight="1">
      <c r="I89" s="57"/>
      <c r="J89" s="57"/>
      <c r="K89" s="57"/>
    </row>
    <row r="90" ht="15.75" customHeight="1">
      <c r="I90" s="57"/>
      <c r="J90" s="57"/>
      <c r="K90" s="57"/>
    </row>
    <row r="91" ht="15.75" customHeight="1">
      <c r="I91" s="57"/>
      <c r="J91" s="57"/>
      <c r="K91" s="57"/>
    </row>
    <row r="92" ht="15.75" customHeight="1">
      <c r="I92" s="57"/>
      <c r="J92" s="57"/>
      <c r="K92" s="57"/>
    </row>
    <row r="93" ht="15.75" customHeight="1">
      <c r="I93" s="57"/>
      <c r="J93" s="57"/>
      <c r="K93" s="57"/>
    </row>
    <row r="94" ht="15.75" customHeight="1">
      <c r="I94" s="57"/>
      <c r="J94" s="57"/>
      <c r="K94" s="57"/>
    </row>
    <row r="95" ht="15.75" customHeight="1">
      <c r="I95" s="57"/>
      <c r="J95" s="57"/>
      <c r="K95" s="57"/>
    </row>
    <row r="96" ht="15.75" customHeight="1">
      <c r="I96" s="57"/>
      <c r="J96" s="57"/>
      <c r="K96" s="57"/>
    </row>
    <row r="97" ht="15.75" customHeight="1">
      <c r="I97" s="57"/>
      <c r="J97" s="57"/>
      <c r="K97" s="57"/>
    </row>
    <row r="98" ht="15.75" customHeight="1">
      <c r="I98" s="57"/>
      <c r="J98" s="57"/>
      <c r="K98" s="57"/>
    </row>
    <row r="99" ht="15.75" customHeight="1">
      <c r="I99" s="57"/>
      <c r="J99" s="57"/>
      <c r="K99" s="57"/>
    </row>
    <row r="100" ht="15.75" customHeight="1">
      <c r="I100" s="57"/>
      <c r="J100" s="57"/>
      <c r="K100" s="57"/>
    </row>
    <row r="101" ht="15.75" customHeight="1">
      <c r="I101" s="57"/>
      <c r="J101" s="57"/>
      <c r="K101" s="57"/>
    </row>
    <row r="102" ht="15.75" customHeight="1">
      <c r="I102" s="57"/>
      <c r="J102" s="57"/>
      <c r="K102" s="57"/>
    </row>
    <row r="103" ht="15.75" customHeight="1">
      <c r="I103" s="57"/>
      <c r="J103" s="57"/>
      <c r="K103" s="57"/>
    </row>
    <row r="104" ht="15.75" customHeight="1">
      <c r="I104" s="57"/>
      <c r="J104" s="57"/>
      <c r="K104" s="57"/>
    </row>
    <row r="105" ht="15.75" customHeight="1">
      <c r="I105" s="57"/>
      <c r="J105" s="57"/>
      <c r="K105" s="57"/>
    </row>
    <row r="106" ht="15.75" customHeight="1">
      <c r="I106" s="57"/>
      <c r="J106" s="57"/>
      <c r="K106" s="57"/>
    </row>
    <row r="107" ht="15.75" customHeight="1">
      <c r="I107" s="57"/>
      <c r="J107" s="57"/>
      <c r="K107" s="57"/>
    </row>
    <row r="108" ht="15.75" customHeight="1">
      <c r="I108" s="57"/>
      <c r="J108" s="57"/>
      <c r="K108" s="57"/>
    </row>
    <row r="109" ht="15.75" customHeight="1">
      <c r="I109" s="57"/>
      <c r="J109" s="57"/>
      <c r="K109" s="57"/>
    </row>
    <row r="110" ht="15.75" customHeight="1">
      <c r="I110" s="57"/>
      <c r="J110" s="57"/>
      <c r="K110" s="57"/>
    </row>
    <row r="111" ht="15.75" customHeight="1">
      <c r="I111" s="57"/>
      <c r="J111" s="57"/>
      <c r="K111" s="57"/>
    </row>
    <row r="112" ht="15.75" customHeight="1">
      <c r="I112" s="57"/>
      <c r="J112" s="57"/>
      <c r="K112" s="57"/>
    </row>
    <row r="113" ht="15.75" customHeight="1">
      <c r="I113" s="57"/>
      <c r="J113" s="57"/>
      <c r="K113" s="57"/>
    </row>
    <row r="114" ht="15.75" customHeight="1">
      <c r="I114" s="57"/>
      <c r="J114" s="57"/>
      <c r="K114" s="57"/>
    </row>
    <row r="115" ht="15.75" customHeight="1">
      <c r="I115" s="57"/>
      <c r="J115" s="57"/>
      <c r="K115" s="57"/>
    </row>
    <row r="116" ht="15.75" customHeight="1">
      <c r="I116" s="57"/>
      <c r="J116" s="57"/>
      <c r="K116" s="57"/>
    </row>
    <row r="117" ht="15.75" customHeight="1">
      <c r="I117" s="57"/>
      <c r="J117" s="57"/>
      <c r="K117" s="57"/>
    </row>
    <row r="118" ht="15.75" customHeight="1">
      <c r="I118" s="57"/>
      <c r="J118" s="57"/>
      <c r="K118" s="57"/>
    </row>
    <row r="119" ht="15.75" customHeight="1">
      <c r="I119" s="57"/>
      <c r="J119" s="57"/>
      <c r="K119" s="57"/>
    </row>
    <row r="120" ht="15.75" customHeight="1">
      <c r="I120" s="57"/>
      <c r="J120" s="57"/>
      <c r="K120" s="57"/>
    </row>
    <row r="121" ht="15.75" customHeight="1">
      <c r="I121" s="57"/>
      <c r="J121" s="57"/>
      <c r="K121" s="57"/>
    </row>
    <row r="122" ht="15.75" customHeight="1">
      <c r="I122" s="57"/>
      <c r="J122" s="57"/>
      <c r="K122" s="57"/>
    </row>
    <row r="123" ht="15.75" customHeight="1">
      <c r="I123" s="57"/>
      <c r="J123" s="57"/>
      <c r="K123" s="57"/>
    </row>
    <row r="124" ht="15.75" customHeight="1">
      <c r="I124" s="57"/>
      <c r="J124" s="57"/>
      <c r="K124" s="57"/>
    </row>
    <row r="125" ht="15.75" customHeight="1">
      <c r="I125" s="57"/>
      <c r="J125" s="57"/>
      <c r="K125" s="57"/>
    </row>
    <row r="126" ht="15.75" customHeight="1">
      <c r="I126" s="57"/>
      <c r="J126" s="57"/>
      <c r="K126" s="57"/>
    </row>
    <row r="127" ht="15.75" customHeight="1">
      <c r="I127" s="57"/>
      <c r="J127" s="57"/>
      <c r="K127" s="57"/>
    </row>
    <row r="128" ht="15.75" customHeight="1">
      <c r="I128" s="57"/>
      <c r="J128" s="57"/>
      <c r="K128" s="57"/>
    </row>
    <row r="129" ht="15.75" customHeight="1">
      <c r="I129" s="57"/>
      <c r="J129" s="57"/>
      <c r="K129" s="57"/>
    </row>
    <row r="130" ht="15.75" customHeight="1">
      <c r="I130" s="57"/>
      <c r="J130" s="57"/>
      <c r="K130" s="57"/>
    </row>
    <row r="131" ht="15.75" customHeight="1">
      <c r="I131" s="57"/>
      <c r="J131" s="57"/>
      <c r="K131" s="57"/>
    </row>
    <row r="132" ht="15.75" customHeight="1">
      <c r="I132" s="57"/>
      <c r="J132" s="57"/>
      <c r="K132" s="57"/>
    </row>
    <row r="133" ht="15.75" customHeight="1">
      <c r="I133" s="57"/>
      <c r="J133" s="57"/>
      <c r="K133" s="57"/>
    </row>
    <row r="134" ht="15.75" customHeight="1">
      <c r="I134" s="57"/>
      <c r="J134" s="57"/>
      <c r="K134" s="57"/>
    </row>
    <row r="135" ht="15.75" customHeight="1">
      <c r="I135" s="57"/>
      <c r="J135" s="57"/>
      <c r="K135" s="57"/>
    </row>
    <row r="136" ht="15.75" customHeight="1">
      <c r="I136" s="57"/>
      <c r="J136" s="57"/>
      <c r="K136" s="57"/>
    </row>
    <row r="137" ht="15.75" customHeight="1">
      <c r="I137" s="57"/>
      <c r="J137" s="57"/>
      <c r="K137" s="57"/>
    </row>
    <row r="138" ht="15.75" customHeight="1">
      <c r="I138" s="57"/>
      <c r="J138" s="57"/>
      <c r="K138" s="57"/>
    </row>
    <row r="139" ht="15.75" customHeight="1">
      <c r="I139" s="57"/>
      <c r="J139" s="57"/>
      <c r="K139" s="57"/>
    </row>
    <row r="140" ht="15.75" customHeight="1">
      <c r="I140" s="57"/>
      <c r="J140" s="57"/>
      <c r="K140" s="57"/>
    </row>
    <row r="141" ht="15.75" customHeight="1">
      <c r="I141" s="57"/>
      <c r="J141" s="57"/>
      <c r="K141" s="57"/>
    </row>
    <row r="142" ht="15.75" customHeight="1">
      <c r="I142" s="57"/>
      <c r="J142" s="57"/>
      <c r="K142" s="57"/>
    </row>
    <row r="143" ht="15.75" customHeight="1">
      <c r="I143" s="57"/>
      <c r="J143" s="57"/>
      <c r="K143" s="57"/>
    </row>
    <row r="144" ht="15.75" customHeight="1">
      <c r="I144" s="57"/>
      <c r="J144" s="57"/>
      <c r="K144" s="57"/>
    </row>
    <row r="145" ht="15.75" customHeight="1">
      <c r="I145" s="57"/>
      <c r="J145" s="57"/>
      <c r="K145" s="57"/>
    </row>
    <row r="146" ht="15.75" customHeight="1">
      <c r="I146" s="57"/>
      <c r="J146" s="57"/>
      <c r="K146" s="57"/>
    </row>
    <row r="147" ht="15.75" customHeight="1">
      <c r="I147" s="57"/>
      <c r="J147" s="57"/>
      <c r="K147" s="57"/>
    </row>
    <row r="148" ht="15.75" customHeight="1">
      <c r="I148" s="57"/>
      <c r="J148" s="57"/>
      <c r="K148" s="57"/>
    </row>
    <row r="149" ht="15.75" customHeight="1">
      <c r="I149" s="57"/>
      <c r="J149" s="57"/>
      <c r="K149" s="57"/>
    </row>
    <row r="150" ht="15.75" customHeight="1">
      <c r="I150" s="57"/>
      <c r="J150" s="57"/>
      <c r="K150" s="57"/>
    </row>
    <row r="151" ht="15.75" customHeight="1">
      <c r="I151" s="57"/>
      <c r="J151" s="57"/>
      <c r="K151" s="57"/>
    </row>
    <row r="152" ht="15.75" customHeight="1">
      <c r="I152" s="57"/>
      <c r="J152" s="57"/>
      <c r="K152" s="57"/>
    </row>
    <row r="153" ht="15.75" customHeight="1">
      <c r="I153" s="57"/>
      <c r="J153" s="57"/>
      <c r="K153" s="57"/>
    </row>
    <row r="154" ht="15.75" customHeight="1">
      <c r="I154" s="57"/>
      <c r="J154" s="57"/>
      <c r="K154" s="57"/>
    </row>
    <row r="155" ht="15.75" customHeight="1">
      <c r="I155" s="57"/>
      <c r="J155" s="57"/>
      <c r="K155" s="57"/>
    </row>
    <row r="156" ht="15.75" customHeight="1">
      <c r="I156" s="57"/>
      <c r="J156" s="57"/>
      <c r="K156" s="57"/>
    </row>
    <row r="157" ht="15.75" customHeight="1">
      <c r="I157" s="57"/>
      <c r="J157" s="57"/>
      <c r="K157" s="57"/>
    </row>
    <row r="158" ht="15.75" customHeight="1">
      <c r="I158" s="57"/>
      <c r="J158" s="57"/>
      <c r="K158" s="57"/>
    </row>
    <row r="159" ht="15.75" customHeight="1">
      <c r="I159" s="57"/>
      <c r="J159" s="57"/>
      <c r="K159" s="57"/>
    </row>
    <row r="160" ht="15.75" customHeight="1">
      <c r="I160" s="57"/>
      <c r="J160" s="57"/>
      <c r="K160" s="57"/>
    </row>
    <row r="161" ht="15.75" customHeight="1">
      <c r="I161" s="57"/>
      <c r="J161" s="57"/>
      <c r="K161" s="57"/>
    </row>
    <row r="162" ht="15.75" customHeight="1">
      <c r="I162" s="57"/>
      <c r="J162" s="57"/>
      <c r="K162" s="57"/>
    </row>
    <row r="163" ht="15.75" customHeight="1">
      <c r="I163" s="57"/>
      <c r="J163" s="57"/>
      <c r="K163" s="57"/>
    </row>
    <row r="164" ht="15.75" customHeight="1">
      <c r="I164" s="57"/>
      <c r="J164" s="57"/>
      <c r="K164" s="57"/>
    </row>
    <row r="165" ht="15.75" customHeight="1">
      <c r="I165" s="57"/>
      <c r="J165" s="57"/>
      <c r="K165" s="57"/>
    </row>
    <row r="166" ht="15.75" customHeight="1">
      <c r="I166" s="57"/>
      <c r="J166" s="57"/>
      <c r="K166" s="57"/>
    </row>
    <row r="167" ht="15.75" customHeight="1">
      <c r="I167" s="57"/>
      <c r="J167" s="57"/>
      <c r="K167" s="57"/>
    </row>
    <row r="168" ht="15.75" customHeight="1">
      <c r="I168" s="57"/>
      <c r="J168" s="57"/>
      <c r="K168" s="57"/>
    </row>
    <row r="169" ht="15.75" customHeight="1">
      <c r="I169" s="57"/>
      <c r="J169" s="57"/>
      <c r="K169" s="57"/>
    </row>
    <row r="170" ht="15.75" customHeight="1">
      <c r="I170" s="57"/>
      <c r="J170" s="57"/>
      <c r="K170" s="57"/>
    </row>
    <row r="171" ht="15.75" customHeight="1">
      <c r="I171" s="57"/>
      <c r="J171" s="57"/>
      <c r="K171" s="57"/>
    </row>
    <row r="172" ht="15.75" customHeight="1">
      <c r="I172" s="57"/>
      <c r="J172" s="57"/>
      <c r="K172" s="57"/>
    </row>
    <row r="173" ht="15.75" customHeight="1">
      <c r="I173" s="57"/>
      <c r="J173" s="57"/>
      <c r="K173" s="57"/>
    </row>
    <row r="174" ht="15.75" customHeight="1">
      <c r="I174" s="57"/>
      <c r="J174" s="57"/>
      <c r="K174" s="57"/>
    </row>
    <row r="175" ht="15.75" customHeight="1">
      <c r="I175" s="57"/>
      <c r="J175" s="57"/>
      <c r="K175" s="57"/>
    </row>
    <row r="176" ht="15.75" customHeight="1">
      <c r="I176" s="57"/>
      <c r="J176" s="57"/>
      <c r="K176" s="57"/>
    </row>
    <row r="177" ht="15.75" customHeight="1">
      <c r="I177" s="57"/>
      <c r="J177" s="57"/>
      <c r="K177" s="57"/>
    </row>
    <row r="178" ht="15.75" customHeight="1">
      <c r="I178" s="57"/>
      <c r="J178" s="57"/>
      <c r="K178" s="57"/>
    </row>
    <row r="179" ht="15.75" customHeight="1">
      <c r="I179" s="57"/>
      <c r="J179" s="57"/>
      <c r="K179" s="57"/>
    </row>
    <row r="180" ht="15.75" customHeight="1">
      <c r="I180" s="57"/>
      <c r="J180" s="57"/>
      <c r="K180" s="57"/>
    </row>
    <row r="181" ht="15.75" customHeight="1">
      <c r="I181" s="57"/>
      <c r="J181" s="57"/>
      <c r="K181" s="57"/>
    </row>
    <row r="182" ht="15.75" customHeight="1">
      <c r="I182" s="57"/>
      <c r="J182" s="57"/>
      <c r="K182" s="57"/>
    </row>
    <row r="183" ht="15.75" customHeight="1">
      <c r="I183" s="57"/>
      <c r="J183" s="57"/>
      <c r="K183" s="57"/>
    </row>
    <row r="184" ht="15.75" customHeight="1">
      <c r="I184" s="57"/>
      <c r="J184" s="57"/>
      <c r="K184" s="57"/>
    </row>
    <row r="185" ht="15.75" customHeight="1">
      <c r="I185" s="57"/>
      <c r="J185" s="57"/>
      <c r="K185" s="57"/>
    </row>
    <row r="186" ht="15.75" customHeight="1">
      <c r="I186" s="57"/>
      <c r="J186" s="57"/>
      <c r="K186" s="57"/>
    </row>
    <row r="187" ht="15.75" customHeight="1">
      <c r="I187" s="57"/>
      <c r="J187" s="57"/>
      <c r="K187" s="57"/>
    </row>
    <row r="188" ht="15.75" customHeight="1">
      <c r="I188" s="57"/>
      <c r="J188" s="57"/>
      <c r="K188" s="57"/>
    </row>
    <row r="189" ht="15.75" customHeight="1">
      <c r="I189" s="57"/>
      <c r="J189" s="57"/>
      <c r="K189" s="57"/>
    </row>
    <row r="190" ht="15.75" customHeight="1">
      <c r="I190" s="57"/>
      <c r="J190" s="57"/>
      <c r="K190" s="57"/>
    </row>
    <row r="191" ht="15.75" customHeight="1">
      <c r="I191" s="57"/>
      <c r="J191" s="57"/>
      <c r="K191" s="57"/>
    </row>
    <row r="192" ht="15.75" customHeight="1">
      <c r="I192" s="57"/>
      <c r="J192" s="57"/>
      <c r="K192" s="57"/>
    </row>
    <row r="193" ht="15.75" customHeight="1">
      <c r="I193" s="57"/>
      <c r="J193" s="57"/>
      <c r="K193" s="57"/>
    </row>
    <row r="194" ht="15.75" customHeight="1">
      <c r="I194" s="57"/>
      <c r="J194" s="57"/>
      <c r="K194" s="57"/>
    </row>
    <row r="195" ht="15.75" customHeight="1">
      <c r="I195" s="57"/>
      <c r="J195" s="57"/>
      <c r="K195" s="57"/>
    </row>
    <row r="196" ht="15.75" customHeight="1">
      <c r="I196" s="57"/>
      <c r="J196" s="57"/>
      <c r="K196" s="57"/>
    </row>
    <row r="197" ht="15.75" customHeight="1">
      <c r="I197" s="57"/>
      <c r="J197" s="57"/>
      <c r="K197" s="57"/>
    </row>
    <row r="198" ht="15.75" customHeight="1">
      <c r="I198" s="57"/>
      <c r="J198" s="57"/>
      <c r="K198" s="57"/>
    </row>
    <row r="199" ht="15.75" customHeight="1">
      <c r="I199" s="57"/>
      <c r="J199" s="57"/>
      <c r="K199" s="57"/>
    </row>
    <row r="200" ht="15.75" customHeight="1">
      <c r="I200" s="57"/>
      <c r="J200" s="57"/>
      <c r="K200" s="57"/>
    </row>
    <row r="201" ht="15.75" customHeight="1">
      <c r="I201" s="57"/>
      <c r="J201" s="57"/>
      <c r="K201" s="57"/>
    </row>
    <row r="202" ht="15.75" customHeight="1">
      <c r="I202" s="57"/>
      <c r="J202" s="57"/>
      <c r="K202" s="57"/>
    </row>
    <row r="203" ht="15.75" customHeight="1">
      <c r="I203" s="57"/>
      <c r="J203" s="57"/>
      <c r="K203" s="57"/>
    </row>
    <row r="204" ht="15.75" customHeight="1">
      <c r="I204" s="57"/>
      <c r="J204" s="57"/>
      <c r="K204" s="57"/>
    </row>
    <row r="205" ht="15.75" customHeight="1">
      <c r="I205" s="57"/>
      <c r="J205" s="57"/>
      <c r="K205" s="57"/>
    </row>
    <row r="206" ht="15.75" customHeight="1">
      <c r="I206" s="57"/>
      <c r="J206" s="57"/>
      <c r="K206" s="57"/>
    </row>
    <row r="207" ht="15.75" customHeight="1">
      <c r="I207" s="57"/>
      <c r="J207" s="57"/>
      <c r="K207" s="57"/>
    </row>
    <row r="208" ht="15.75" customHeight="1">
      <c r="I208" s="57"/>
      <c r="J208" s="57"/>
      <c r="K208" s="57"/>
    </row>
    <row r="209" ht="15.75" customHeight="1">
      <c r="I209" s="57"/>
      <c r="J209" s="57"/>
      <c r="K209" s="57"/>
    </row>
    <row r="210" ht="15.75" customHeight="1">
      <c r="I210" s="57"/>
      <c r="J210" s="57"/>
      <c r="K210" s="57"/>
    </row>
    <row r="211" ht="15.75" customHeight="1">
      <c r="I211" s="57"/>
      <c r="J211" s="57"/>
      <c r="K211" s="57"/>
    </row>
    <row r="212" ht="15.75" customHeight="1">
      <c r="I212" s="57"/>
      <c r="J212" s="57"/>
      <c r="K212" s="57"/>
    </row>
    <row r="213" ht="15.75" customHeight="1">
      <c r="I213" s="57"/>
      <c r="J213" s="57"/>
      <c r="K213" s="57"/>
    </row>
    <row r="214" ht="15.75" customHeight="1">
      <c r="I214" s="57"/>
      <c r="J214" s="57"/>
      <c r="K214" s="57"/>
    </row>
    <row r="215" ht="15.75" customHeight="1">
      <c r="I215" s="57"/>
      <c r="J215" s="57"/>
      <c r="K215" s="57"/>
    </row>
    <row r="216" ht="15.75" customHeight="1">
      <c r="I216" s="57"/>
      <c r="J216" s="57"/>
      <c r="K216" s="57"/>
    </row>
    <row r="217" ht="15.75" customHeight="1">
      <c r="I217" s="57"/>
      <c r="J217" s="57"/>
      <c r="K217" s="57"/>
    </row>
    <row r="218" ht="15.75" customHeight="1">
      <c r="I218" s="57"/>
      <c r="J218" s="57"/>
      <c r="K218" s="57"/>
    </row>
    <row r="219" ht="15.75" customHeight="1">
      <c r="I219" s="57"/>
      <c r="J219" s="57"/>
      <c r="K219" s="57"/>
    </row>
    <row r="220" ht="15.75" customHeight="1">
      <c r="I220" s="57"/>
      <c r="J220" s="57"/>
      <c r="K220" s="57"/>
    </row>
    <row r="221" ht="15.75" customHeight="1">
      <c r="I221" s="57"/>
      <c r="J221" s="57"/>
      <c r="K221" s="57"/>
    </row>
    <row r="222" ht="15.75" customHeight="1">
      <c r="I222" s="57"/>
      <c r="J222" s="57"/>
      <c r="K222" s="57"/>
    </row>
    <row r="223" ht="15.75" customHeight="1">
      <c r="I223" s="57"/>
      <c r="J223" s="57"/>
      <c r="K223" s="57"/>
    </row>
    <row r="224" ht="15.75" customHeight="1">
      <c r="I224" s="57"/>
      <c r="J224" s="57"/>
      <c r="K224" s="57"/>
    </row>
    <row r="225" ht="15.75" customHeight="1">
      <c r="I225" s="57"/>
      <c r="J225" s="57"/>
      <c r="K225" s="57"/>
    </row>
    <row r="226" ht="15.75" customHeight="1">
      <c r="I226" s="57"/>
      <c r="J226" s="57"/>
      <c r="K226" s="57"/>
    </row>
    <row r="227" ht="15.75" customHeight="1">
      <c r="I227" s="57"/>
      <c r="J227" s="57"/>
      <c r="K227" s="57"/>
    </row>
    <row r="228" ht="15.75" customHeight="1">
      <c r="I228" s="57"/>
      <c r="J228" s="57"/>
      <c r="K228" s="57"/>
    </row>
    <row r="229" ht="15.75" customHeight="1">
      <c r="I229" s="57"/>
      <c r="J229" s="57"/>
      <c r="K229" s="57"/>
    </row>
    <row r="230" ht="15.75" customHeight="1">
      <c r="I230" s="57"/>
      <c r="J230" s="57"/>
      <c r="K230" s="57"/>
    </row>
    <row r="231" ht="15.75" customHeight="1">
      <c r="I231" s="57"/>
      <c r="J231" s="57"/>
      <c r="K231" s="57"/>
    </row>
    <row r="232" ht="15.75" customHeight="1">
      <c r="I232" s="57"/>
      <c r="J232" s="57"/>
      <c r="K232" s="57"/>
    </row>
    <row r="233" ht="15.75" customHeight="1">
      <c r="I233" s="57"/>
      <c r="J233" s="57"/>
      <c r="K233" s="57"/>
    </row>
    <row r="234" ht="15.75" customHeight="1">
      <c r="I234" s="57"/>
      <c r="J234" s="57"/>
      <c r="K234" s="57"/>
    </row>
    <row r="235" ht="15.75" customHeight="1">
      <c r="I235" s="57"/>
      <c r="J235" s="57"/>
      <c r="K235" s="57"/>
    </row>
    <row r="236" ht="15.75" customHeight="1">
      <c r="I236" s="57"/>
      <c r="J236" s="57"/>
      <c r="K236" s="57"/>
    </row>
    <row r="237" ht="15.75" customHeight="1">
      <c r="I237" s="57"/>
      <c r="J237" s="57"/>
      <c r="K237" s="57"/>
    </row>
    <row r="238" ht="15.75" customHeight="1">
      <c r="I238" s="57"/>
      <c r="J238" s="57"/>
      <c r="K238" s="57"/>
    </row>
    <row r="239" ht="15.75" customHeight="1">
      <c r="I239" s="57"/>
      <c r="J239" s="57"/>
      <c r="K239" s="57"/>
    </row>
    <row r="240" ht="15.75" customHeight="1">
      <c r="I240" s="57"/>
      <c r="J240" s="57"/>
      <c r="K240" s="57"/>
    </row>
    <row r="241" ht="15.75" customHeight="1">
      <c r="I241" s="57"/>
      <c r="J241" s="57"/>
      <c r="K241" s="57"/>
    </row>
    <row r="242" ht="15.75" customHeight="1">
      <c r="I242" s="57"/>
      <c r="J242" s="57"/>
      <c r="K242" s="57"/>
    </row>
    <row r="243" ht="15.75" customHeight="1">
      <c r="I243" s="57"/>
      <c r="J243" s="57"/>
      <c r="K243" s="57"/>
    </row>
    <row r="244" ht="15.75" customHeight="1">
      <c r="I244" s="57"/>
      <c r="J244" s="57"/>
      <c r="K244" s="57"/>
    </row>
    <row r="245" ht="15.75" customHeight="1">
      <c r="I245" s="57"/>
      <c r="J245" s="57"/>
      <c r="K245" s="57"/>
    </row>
    <row r="246" ht="15.75" customHeight="1">
      <c r="I246" s="57"/>
      <c r="J246" s="57"/>
      <c r="K246" s="57"/>
    </row>
    <row r="247" ht="15.75" customHeight="1">
      <c r="I247" s="57"/>
      <c r="J247" s="57"/>
      <c r="K247" s="57"/>
    </row>
    <row r="248" ht="15.75" customHeight="1">
      <c r="I248" s="57"/>
      <c r="J248" s="57"/>
      <c r="K248" s="57"/>
    </row>
    <row r="249" ht="15.75" customHeight="1">
      <c r="I249" s="57"/>
      <c r="J249" s="57"/>
      <c r="K249" s="57"/>
    </row>
    <row r="250" ht="15.75" customHeight="1">
      <c r="I250" s="57"/>
      <c r="J250" s="57"/>
      <c r="K250" s="57"/>
    </row>
    <row r="251" ht="15.75" customHeight="1">
      <c r="I251" s="57"/>
      <c r="J251" s="57"/>
      <c r="K251" s="57"/>
    </row>
    <row r="252" ht="15.75" customHeight="1">
      <c r="I252" s="57"/>
      <c r="J252" s="57"/>
      <c r="K252" s="57"/>
    </row>
    <row r="253" ht="15.75" customHeight="1">
      <c r="I253" s="57"/>
      <c r="J253" s="57"/>
      <c r="K253" s="57"/>
    </row>
    <row r="254" ht="15.75" customHeight="1">
      <c r="I254" s="57"/>
      <c r="J254" s="57"/>
      <c r="K254" s="57"/>
    </row>
    <row r="255" ht="15.75" customHeight="1">
      <c r="I255" s="57"/>
      <c r="J255" s="57"/>
      <c r="K255" s="57"/>
    </row>
    <row r="256" ht="15.75" customHeight="1">
      <c r="I256" s="57"/>
      <c r="J256" s="57"/>
      <c r="K256" s="57"/>
    </row>
    <row r="257" ht="15.75" customHeight="1">
      <c r="I257" s="57"/>
      <c r="J257" s="57"/>
      <c r="K257" s="57"/>
    </row>
    <row r="258" ht="15.75" customHeight="1">
      <c r="I258" s="57"/>
      <c r="J258" s="57"/>
      <c r="K258" s="57"/>
    </row>
    <row r="259" ht="15.75" customHeight="1">
      <c r="I259" s="57"/>
      <c r="J259" s="57"/>
      <c r="K259" s="57"/>
    </row>
    <row r="260" ht="15.75" customHeight="1">
      <c r="I260" s="57"/>
      <c r="J260" s="57"/>
      <c r="K260" s="57"/>
    </row>
    <row r="261" ht="15.75" customHeight="1">
      <c r="I261" s="57"/>
      <c r="J261" s="57"/>
      <c r="K261" s="57"/>
    </row>
    <row r="262" ht="15.75" customHeight="1">
      <c r="I262" s="57"/>
      <c r="J262" s="57"/>
      <c r="K262" s="57"/>
    </row>
    <row r="263" ht="15.75" customHeight="1">
      <c r="I263" s="57"/>
      <c r="J263" s="57"/>
      <c r="K263" s="57"/>
    </row>
    <row r="264" ht="15.75" customHeight="1">
      <c r="I264" s="57"/>
      <c r="J264" s="57"/>
      <c r="K264" s="57"/>
    </row>
    <row r="265" ht="15.75" customHeight="1">
      <c r="I265" s="57"/>
      <c r="J265" s="57"/>
      <c r="K265" s="57"/>
    </row>
    <row r="266" ht="15.75" customHeight="1">
      <c r="I266" s="57"/>
      <c r="J266" s="57"/>
      <c r="K266" s="57"/>
    </row>
    <row r="267" ht="15.75" customHeight="1">
      <c r="I267" s="57"/>
      <c r="J267" s="57"/>
      <c r="K267" s="57"/>
    </row>
    <row r="268" ht="15.75" customHeight="1">
      <c r="I268" s="57"/>
      <c r="J268" s="57"/>
      <c r="K268" s="57"/>
    </row>
    <row r="269" ht="15.75" customHeight="1">
      <c r="I269" s="57"/>
      <c r="J269" s="57"/>
      <c r="K269" s="57"/>
    </row>
    <row r="270" ht="15.75" customHeight="1">
      <c r="I270" s="57"/>
      <c r="J270" s="57"/>
      <c r="K270" s="57"/>
    </row>
    <row r="271" ht="15.75" customHeight="1">
      <c r="I271" s="57"/>
      <c r="J271" s="57"/>
      <c r="K271" s="57"/>
    </row>
    <row r="272" ht="15.75" customHeight="1">
      <c r="I272" s="57"/>
      <c r="J272" s="57"/>
      <c r="K272" s="57"/>
    </row>
    <row r="273" ht="15.75" customHeight="1">
      <c r="I273" s="57"/>
      <c r="J273" s="57"/>
      <c r="K273" s="57"/>
    </row>
    <row r="274" ht="15.75" customHeight="1">
      <c r="I274" s="57"/>
      <c r="J274" s="57"/>
      <c r="K274" s="57"/>
    </row>
    <row r="275" ht="15.75" customHeight="1">
      <c r="I275" s="57"/>
      <c r="J275" s="57"/>
      <c r="K275" s="57"/>
    </row>
    <row r="276" ht="15.75" customHeight="1">
      <c r="I276" s="57"/>
      <c r="J276" s="57"/>
      <c r="K276" s="57"/>
    </row>
    <row r="277" ht="15.75" customHeight="1">
      <c r="I277" s="57"/>
      <c r="J277" s="57"/>
      <c r="K277" s="57"/>
    </row>
    <row r="278" ht="15.75" customHeight="1">
      <c r="I278" s="57"/>
      <c r="J278" s="57"/>
      <c r="K278" s="57"/>
    </row>
    <row r="279" ht="15.75" customHeight="1">
      <c r="I279" s="57"/>
      <c r="J279" s="57"/>
      <c r="K279" s="57"/>
    </row>
    <row r="280" ht="15.75" customHeight="1">
      <c r="I280" s="57"/>
      <c r="J280" s="57"/>
      <c r="K280" s="57"/>
    </row>
    <row r="281" ht="15.75" customHeight="1">
      <c r="I281" s="57"/>
      <c r="J281" s="57"/>
      <c r="K281" s="57"/>
    </row>
    <row r="282" ht="15.75" customHeight="1">
      <c r="I282" s="57"/>
      <c r="J282" s="57"/>
      <c r="K282" s="57"/>
    </row>
    <row r="283" ht="15.75" customHeight="1">
      <c r="I283" s="57"/>
      <c r="J283" s="57"/>
      <c r="K283" s="57"/>
    </row>
    <row r="284" ht="15.75" customHeight="1">
      <c r="I284" s="57"/>
      <c r="J284" s="57"/>
      <c r="K284" s="57"/>
    </row>
    <row r="285" ht="15.75" customHeight="1">
      <c r="I285" s="57"/>
      <c r="J285" s="57"/>
      <c r="K285" s="57"/>
    </row>
    <row r="286" ht="15.75" customHeight="1">
      <c r="I286" s="57"/>
      <c r="J286" s="57"/>
      <c r="K286" s="57"/>
    </row>
    <row r="287" ht="15.75" customHeight="1">
      <c r="I287" s="57"/>
      <c r="J287" s="57"/>
      <c r="K287" s="57"/>
    </row>
    <row r="288" ht="15.75" customHeight="1">
      <c r="I288" s="57"/>
      <c r="J288" s="57"/>
      <c r="K288" s="57"/>
    </row>
    <row r="289" ht="15.75" customHeight="1">
      <c r="I289" s="57"/>
      <c r="J289" s="57"/>
      <c r="K289" s="57"/>
    </row>
    <row r="290" ht="15.75" customHeight="1">
      <c r="I290" s="57"/>
      <c r="J290" s="57"/>
      <c r="K290" s="57"/>
    </row>
    <row r="291" ht="15.75" customHeight="1">
      <c r="I291" s="57"/>
      <c r="J291" s="57"/>
      <c r="K291" s="57"/>
    </row>
    <row r="292" ht="15.75" customHeight="1">
      <c r="I292" s="57"/>
      <c r="J292" s="57"/>
      <c r="K292" s="57"/>
    </row>
    <row r="293" ht="15.75" customHeight="1">
      <c r="I293" s="57"/>
      <c r="J293" s="57"/>
      <c r="K293" s="57"/>
    </row>
    <row r="294" ht="15.75" customHeight="1">
      <c r="I294" s="57"/>
      <c r="J294" s="57"/>
      <c r="K294" s="57"/>
    </row>
    <row r="295" ht="15.75" customHeight="1">
      <c r="I295" s="57"/>
      <c r="J295" s="57"/>
      <c r="K295" s="57"/>
    </row>
    <row r="296" ht="15.75" customHeight="1">
      <c r="I296" s="57"/>
      <c r="J296" s="57"/>
      <c r="K296" s="57"/>
    </row>
    <row r="297" ht="15.75" customHeight="1">
      <c r="I297" s="57"/>
      <c r="J297" s="57"/>
      <c r="K297" s="57"/>
    </row>
    <row r="298" ht="15.75" customHeight="1">
      <c r="I298" s="57"/>
      <c r="J298" s="57"/>
      <c r="K298" s="57"/>
    </row>
    <row r="299" ht="15.75" customHeight="1">
      <c r="I299" s="57"/>
      <c r="J299" s="57"/>
      <c r="K299" s="57"/>
    </row>
    <row r="300" ht="15.75" customHeight="1">
      <c r="I300" s="57"/>
      <c r="J300" s="57"/>
      <c r="K300" s="57"/>
    </row>
    <row r="301" ht="15.75" customHeight="1">
      <c r="I301" s="57"/>
      <c r="J301" s="57"/>
      <c r="K301" s="57"/>
    </row>
    <row r="302" ht="15.75" customHeight="1">
      <c r="I302" s="57"/>
      <c r="J302" s="57"/>
      <c r="K302" s="57"/>
    </row>
    <row r="303" ht="15.75" customHeight="1">
      <c r="I303" s="57"/>
      <c r="J303" s="57"/>
      <c r="K303" s="57"/>
    </row>
    <row r="304" ht="15.75" customHeight="1">
      <c r="I304" s="57"/>
      <c r="J304" s="57"/>
      <c r="K304" s="57"/>
    </row>
    <row r="305" ht="15.75" customHeight="1">
      <c r="I305" s="57"/>
      <c r="J305" s="57"/>
      <c r="K305" s="57"/>
    </row>
    <row r="306" ht="15.75" customHeight="1">
      <c r="I306" s="57"/>
      <c r="J306" s="57"/>
      <c r="K306" s="57"/>
    </row>
    <row r="307" ht="15.75" customHeight="1">
      <c r="I307" s="57"/>
      <c r="J307" s="57"/>
      <c r="K307" s="57"/>
    </row>
    <row r="308" ht="15.75" customHeight="1">
      <c r="I308" s="57"/>
      <c r="J308" s="57"/>
      <c r="K308" s="57"/>
    </row>
    <row r="309" ht="15.75" customHeight="1">
      <c r="I309" s="57"/>
      <c r="J309" s="57"/>
      <c r="K309" s="57"/>
    </row>
    <row r="310" ht="15.75" customHeight="1">
      <c r="I310" s="57"/>
      <c r="J310" s="57"/>
      <c r="K310" s="57"/>
    </row>
    <row r="311" ht="15.75" customHeight="1">
      <c r="I311" s="57"/>
      <c r="J311" s="57"/>
      <c r="K311" s="57"/>
    </row>
    <row r="312" ht="15.75" customHeight="1">
      <c r="I312" s="57"/>
      <c r="J312" s="57"/>
      <c r="K312" s="57"/>
    </row>
    <row r="313" ht="15.75" customHeight="1">
      <c r="I313" s="57"/>
      <c r="J313" s="57"/>
      <c r="K313" s="57"/>
    </row>
    <row r="314" ht="15.75" customHeight="1">
      <c r="I314" s="57"/>
      <c r="J314" s="57"/>
      <c r="K314" s="57"/>
    </row>
    <row r="315" ht="15.75" customHeight="1">
      <c r="I315" s="57"/>
      <c r="J315" s="57"/>
      <c r="K315" s="57"/>
    </row>
    <row r="316" ht="15.75" customHeight="1">
      <c r="I316" s="57"/>
      <c r="J316" s="57"/>
      <c r="K316" s="57"/>
    </row>
    <row r="317" ht="15.75" customHeight="1">
      <c r="I317" s="57"/>
      <c r="J317" s="57"/>
      <c r="K317" s="57"/>
    </row>
    <row r="318" ht="15.75" customHeight="1">
      <c r="I318" s="57"/>
      <c r="J318" s="57"/>
      <c r="K318" s="57"/>
    </row>
    <row r="319" ht="15.75" customHeight="1">
      <c r="I319" s="57"/>
      <c r="J319" s="57"/>
      <c r="K319" s="57"/>
    </row>
    <row r="320" ht="15.75" customHeight="1">
      <c r="I320" s="57"/>
      <c r="J320" s="57"/>
      <c r="K320" s="57"/>
    </row>
    <row r="321" ht="15.75" customHeight="1">
      <c r="I321" s="57"/>
      <c r="J321" s="57"/>
      <c r="K321" s="57"/>
    </row>
    <row r="322" ht="15.75" customHeight="1">
      <c r="I322" s="57"/>
      <c r="J322" s="57"/>
      <c r="K322" s="57"/>
    </row>
    <row r="323" ht="15.75" customHeight="1">
      <c r="I323" s="57"/>
      <c r="J323" s="57"/>
      <c r="K323" s="57"/>
    </row>
    <row r="324" ht="15.75" customHeight="1">
      <c r="I324" s="57"/>
      <c r="J324" s="57"/>
      <c r="K324" s="57"/>
    </row>
    <row r="325" ht="15.75" customHeight="1">
      <c r="I325" s="57"/>
      <c r="J325" s="57"/>
      <c r="K325" s="57"/>
    </row>
    <row r="326" ht="15.75" customHeight="1">
      <c r="I326" s="57"/>
      <c r="J326" s="57"/>
      <c r="K326" s="57"/>
    </row>
    <row r="327" ht="15.75" customHeight="1">
      <c r="I327" s="57"/>
      <c r="J327" s="57"/>
      <c r="K327" s="57"/>
    </row>
    <row r="328" ht="15.75" customHeight="1">
      <c r="I328" s="57"/>
      <c r="J328" s="57"/>
      <c r="K328" s="57"/>
    </row>
    <row r="329" ht="15.75" customHeight="1">
      <c r="I329" s="57"/>
      <c r="J329" s="57"/>
      <c r="K329" s="57"/>
    </row>
    <row r="330" ht="15.75" customHeight="1">
      <c r="I330" s="57"/>
      <c r="J330" s="57"/>
      <c r="K330" s="57"/>
    </row>
    <row r="331" ht="15.75" customHeight="1">
      <c r="I331" s="57"/>
      <c r="J331" s="57"/>
      <c r="K331" s="57"/>
    </row>
    <row r="332" ht="15.75" customHeight="1">
      <c r="I332" s="57"/>
      <c r="J332" s="57"/>
      <c r="K332" s="57"/>
    </row>
    <row r="333" ht="15.75" customHeight="1">
      <c r="I333" s="57"/>
      <c r="J333" s="57"/>
      <c r="K333" s="57"/>
    </row>
    <row r="334" ht="15.75" customHeight="1">
      <c r="I334" s="57"/>
      <c r="J334" s="57"/>
      <c r="K334" s="57"/>
    </row>
    <row r="335" ht="15.75" customHeight="1">
      <c r="I335" s="57"/>
      <c r="J335" s="57"/>
      <c r="K335" s="57"/>
    </row>
    <row r="336" ht="15.75" customHeight="1">
      <c r="I336" s="57"/>
      <c r="J336" s="57"/>
      <c r="K336" s="57"/>
    </row>
    <row r="337" ht="15.75" customHeight="1">
      <c r="I337" s="57"/>
      <c r="J337" s="57"/>
      <c r="K337" s="57"/>
    </row>
    <row r="338" ht="15.75" customHeight="1">
      <c r="I338" s="57"/>
      <c r="J338" s="57"/>
      <c r="K338" s="57"/>
    </row>
    <row r="339" ht="15.75" customHeight="1">
      <c r="I339" s="57"/>
      <c r="J339" s="57"/>
      <c r="K339" s="57"/>
    </row>
    <row r="340" ht="15.75" customHeight="1">
      <c r="I340" s="57"/>
      <c r="J340" s="57"/>
      <c r="K340" s="57"/>
    </row>
    <row r="341" ht="15.75" customHeight="1">
      <c r="I341" s="57"/>
      <c r="J341" s="57"/>
      <c r="K341" s="57"/>
    </row>
    <row r="342" ht="15.75" customHeight="1">
      <c r="I342" s="57"/>
      <c r="J342" s="57"/>
      <c r="K342" s="57"/>
    </row>
    <row r="343" ht="15.75" customHeight="1">
      <c r="I343" s="57"/>
      <c r="J343" s="57"/>
      <c r="K343" s="57"/>
    </row>
    <row r="344" ht="15.75" customHeight="1">
      <c r="I344" s="57"/>
      <c r="J344" s="57"/>
      <c r="K344" s="57"/>
    </row>
    <row r="345" ht="15.75" customHeight="1">
      <c r="I345" s="57"/>
      <c r="J345" s="57"/>
      <c r="K345" s="57"/>
    </row>
    <row r="346" ht="15.75" customHeight="1">
      <c r="I346" s="57"/>
      <c r="J346" s="57"/>
      <c r="K346" s="57"/>
    </row>
    <row r="347" ht="15.75" customHeight="1">
      <c r="I347" s="57"/>
      <c r="J347" s="57"/>
      <c r="K347" s="57"/>
    </row>
    <row r="348" ht="15.75" customHeight="1">
      <c r="I348" s="57"/>
      <c r="J348" s="57"/>
      <c r="K348" s="57"/>
    </row>
    <row r="349" ht="15.75" customHeight="1">
      <c r="I349" s="57"/>
      <c r="J349" s="57"/>
      <c r="K349" s="57"/>
    </row>
    <row r="350" ht="15.75" customHeight="1">
      <c r="I350" s="57"/>
      <c r="J350" s="57"/>
      <c r="K350" s="57"/>
    </row>
    <row r="351" ht="15.75" customHeight="1">
      <c r="I351" s="57"/>
      <c r="J351" s="57"/>
      <c r="K351" s="57"/>
    </row>
    <row r="352" ht="15.75" customHeight="1">
      <c r="I352" s="57"/>
      <c r="J352" s="57"/>
      <c r="K352" s="57"/>
    </row>
    <row r="353" ht="15.75" customHeight="1">
      <c r="I353" s="57"/>
      <c r="J353" s="57"/>
      <c r="K353" s="57"/>
    </row>
    <row r="354" ht="15.75" customHeight="1">
      <c r="I354" s="57"/>
      <c r="J354" s="57"/>
      <c r="K354" s="57"/>
    </row>
    <row r="355" ht="15.75" customHeight="1">
      <c r="I355" s="57"/>
      <c r="J355" s="57"/>
      <c r="K355" s="57"/>
    </row>
    <row r="356" ht="15.75" customHeight="1">
      <c r="I356" s="57"/>
      <c r="J356" s="57"/>
      <c r="K356" s="57"/>
    </row>
    <row r="357" ht="15.75" customHeight="1">
      <c r="I357" s="57"/>
      <c r="J357" s="57"/>
      <c r="K357" s="57"/>
    </row>
    <row r="358" ht="15.75" customHeight="1">
      <c r="I358" s="57"/>
      <c r="J358" s="57"/>
      <c r="K358" s="57"/>
    </row>
    <row r="359" ht="15.75" customHeight="1">
      <c r="I359" s="57"/>
      <c r="J359" s="57"/>
      <c r="K359" s="57"/>
    </row>
    <row r="360" ht="15.75" customHeight="1">
      <c r="I360" s="57"/>
      <c r="J360" s="57"/>
      <c r="K360" s="57"/>
    </row>
    <row r="361" ht="15.75" customHeight="1">
      <c r="I361" s="57"/>
      <c r="J361" s="57"/>
      <c r="K361" s="57"/>
    </row>
    <row r="362" ht="15.75" customHeight="1">
      <c r="I362" s="57"/>
      <c r="J362" s="57"/>
      <c r="K362" s="57"/>
    </row>
    <row r="363" ht="15.75" customHeight="1">
      <c r="I363" s="57"/>
      <c r="J363" s="57"/>
      <c r="K363" s="57"/>
    </row>
    <row r="364" ht="15.75" customHeight="1">
      <c r="I364" s="57"/>
      <c r="J364" s="57"/>
      <c r="K364" s="57"/>
    </row>
    <row r="365" ht="15.75" customHeight="1">
      <c r="I365" s="57"/>
      <c r="J365" s="57"/>
      <c r="K365" s="57"/>
    </row>
    <row r="366" ht="15.75" customHeight="1">
      <c r="I366" s="57"/>
      <c r="J366" s="57"/>
      <c r="K366" s="57"/>
    </row>
    <row r="367" ht="15.75" customHeight="1">
      <c r="I367" s="57"/>
      <c r="J367" s="57"/>
      <c r="K367" s="57"/>
    </row>
    <row r="368" ht="15.75" customHeight="1">
      <c r="I368" s="57"/>
      <c r="J368" s="57"/>
      <c r="K368" s="57"/>
    </row>
    <row r="369" ht="15.75" customHeight="1">
      <c r="I369" s="57"/>
      <c r="J369" s="57"/>
      <c r="K369" s="57"/>
    </row>
    <row r="370" ht="15.75" customHeight="1">
      <c r="I370" s="57"/>
      <c r="J370" s="57"/>
      <c r="K370" s="57"/>
    </row>
    <row r="371" ht="15.75" customHeight="1">
      <c r="I371" s="57"/>
      <c r="J371" s="57"/>
      <c r="K371" s="57"/>
    </row>
    <row r="372" ht="15.75" customHeight="1">
      <c r="I372" s="57"/>
      <c r="J372" s="57"/>
      <c r="K372" s="57"/>
    </row>
    <row r="373" ht="15.75" customHeight="1">
      <c r="I373" s="57"/>
      <c r="J373" s="57"/>
      <c r="K373" s="57"/>
    </row>
    <row r="374" ht="15.75" customHeight="1">
      <c r="I374" s="57"/>
      <c r="J374" s="57"/>
      <c r="K374" s="57"/>
    </row>
    <row r="375" ht="15.75" customHeight="1">
      <c r="I375" s="57"/>
      <c r="J375" s="57"/>
      <c r="K375" s="57"/>
    </row>
    <row r="376" ht="15.75" customHeight="1">
      <c r="I376" s="57"/>
      <c r="J376" s="57"/>
      <c r="K376" s="57"/>
    </row>
    <row r="377" ht="15.75" customHeight="1">
      <c r="I377" s="57"/>
      <c r="J377" s="57"/>
      <c r="K377" s="57"/>
    </row>
    <row r="378" ht="15.75" customHeight="1">
      <c r="I378" s="57"/>
      <c r="J378" s="57"/>
      <c r="K378" s="57"/>
    </row>
    <row r="379" ht="15.75" customHeight="1">
      <c r="I379" s="57"/>
      <c r="J379" s="57"/>
      <c r="K379" s="57"/>
    </row>
    <row r="380" ht="15.75" customHeight="1">
      <c r="I380" s="57"/>
      <c r="J380" s="57"/>
      <c r="K380" s="57"/>
    </row>
    <row r="381" ht="15.75" customHeight="1">
      <c r="I381" s="57"/>
      <c r="J381" s="57"/>
      <c r="K381" s="57"/>
    </row>
    <row r="382" ht="15.75" customHeight="1">
      <c r="I382" s="57"/>
      <c r="J382" s="57"/>
      <c r="K382" s="57"/>
    </row>
    <row r="383" ht="15.75" customHeight="1">
      <c r="I383" s="57"/>
      <c r="J383" s="57"/>
      <c r="K383" s="57"/>
    </row>
    <row r="384" ht="15.75" customHeight="1">
      <c r="I384" s="57"/>
      <c r="J384" s="57"/>
      <c r="K384" s="57"/>
    </row>
    <row r="385" ht="15.75" customHeight="1">
      <c r="I385" s="57"/>
      <c r="J385" s="57"/>
      <c r="K385" s="57"/>
    </row>
    <row r="386" ht="15.75" customHeight="1">
      <c r="I386" s="57"/>
      <c r="J386" s="57"/>
      <c r="K386" s="57"/>
    </row>
    <row r="387" ht="15.75" customHeight="1">
      <c r="I387" s="57"/>
      <c r="J387" s="57"/>
      <c r="K387" s="57"/>
    </row>
    <row r="388" ht="15.75" customHeight="1">
      <c r="I388" s="57"/>
      <c r="J388" s="57"/>
      <c r="K388" s="57"/>
    </row>
    <row r="389" ht="15.75" customHeight="1">
      <c r="I389" s="57"/>
      <c r="J389" s="57"/>
      <c r="K389" s="57"/>
    </row>
    <row r="390" ht="15.75" customHeight="1">
      <c r="I390" s="57"/>
      <c r="J390" s="57"/>
      <c r="K390" s="57"/>
    </row>
    <row r="391" ht="15.75" customHeight="1">
      <c r="I391" s="57"/>
      <c r="J391" s="57"/>
      <c r="K391" s="57"/>
    </row>
    <row r="392" ht="15.75" customHeight="1">
      <c r="I392" s="57"/>
      <c r="J392" s="57"/>
      <c r="K392" s="57"/>
    </row>
    <row r="393" ht="15.75" customHeight="1">
      <c r="I393" s="57"/>
      <c r="J393" s="57"/>
      <c r="K393" s="57"/>
    </row>
    <row r="394" ht="15.75" customHeight="1">
      <c r="I394" s="57"/>
      <c r="J394" s="57"/>
      <c r="K394" s="57"/>
    </row>
    <row r="395" ht="15.75" customHeight="1">
      <c r="I395" s="57"/>
      <c r="J395" s="57"/>
      <c r="K395" s="57"/>
    </row>
    <row r="396" ht="15.75" customHeight="1">
      <c r="I396" s="57"/>
      <c r="J396" s="57"/>
      <c r="K396" s="57"/>
    </row>
    <row r="397" ht="15.75" customHeight="1">
      <c r="I397" s="57"/>
      <c r="J397" s="57"/>
      <c r="K397" s="57"/>
    </row>
    <row r="398" ht="15.75" customHeight="1">
      <c r="I398" s="57"/>
      <c r="J398" s="57"/>
      <c r="K398" s="57"/>
    </row>
    <row r="399" ht="15.75" customHeight="1">
      <c r="I399" s="57"/>
      <c r="J399" s="57"/>
      <c r="K399" s="57"/>
    </row>
    <row r="400" ht="15.75" customHeight="1">
      <c r="I400" s="57"/>
      <c r="J400" s="57"/>
      <c r="K400" s="57"/>
    </row>
    <row r="401" ht="15.75" customHeight="1">
      <c r="I401" s="57"/>
      <c r="J401" s="57"/>
      <c r="K401" s="57"/>
    </row>
    <row r="402" ht="15.75" customHeight="1">
      <c r="I402" s="57"/>
      <c r="J402" s="57"/>
      <c r="K402" s="57"/>
    </row>
    <row r="403" ht="15.75" customHeight="1">
      <c r="I403" s="57"/>
      <c r="J403" s="57"/>
      <c r="K403" s="57"/>
    </row>
    <row r="404" ht="15.75" customHeight="1">
      <c r="I404" s="57"/>
      <c r="J404" s="57"/>
      <c r="K404" s="57"/>
    </row>
    <row r="405" ht="15.75" customHeight="1">
      <c r="I405" s="57"/>
      <c r="J405" s="57"/>
      <c r="K405" s="57"/>
    </row>
    <row r="406" ht="15.75" customHeight="1">
      <c r="I406" s="57"/>
      <c r="J406" s="57"/>
      <c r="K406" s="57"/>
    </row>
    <row r="407" ht="15.75" customHeight="1">
      <c r="I407" s="57"/>
      <c r="J407" s="57"/>
      <c r="K407" s="57"/>
    </row>
    <row r="408" ht="15.75" customHeight="1">
      <c r="I408" s="57"/>
      <c r="J408" s="57"/>
      <c r="K408" s="57"/>
    </row>
    <row r="409" ht="15.75" customHeight="1">
      <c r="I409" s="57"/>
      <c r="J409" s="57"/>
      <c r="K409" s="57"/>
    </row>
    <row r="410" ht="15.75" customHeight="1">
      <c r="I410" s="57"/>
      <c r="J410" s="57"/>
      <c r="K410" s="57"/>
    </row>
    <row r="411" ht="15.75" customHeight="1">
      <c r="I411" s="57"/>
      <c r="J411" s="57"/>
      <c r="K411" s="57"/>
    </row>
    <row r="412" ht="15.75" customHeight="1">
      <c r="I412" s="57"/>
      <c r="J412" s="57"/>
      <c r="K412" s="57"/>
    </row>
    <row r="413" ht="15.75" customHeight="1">
      <c r="I413" s="57"/>
      <c r="J413" s="57"/>
      <c r="K413" s="57"/>
    </row>
    <row r="414" ht="15.75" customHeight="1">
      <c r="I414" s="57"/>
      <c r="J414" s="57"/>
      <c r="K414" s="57"/>
    </row>
    <row r="415" ht="15.75" customHeight="1">
      <c r="I415" s="57"/>
      <c r="J415" s="57"/>
      <c r="K415" s="57"/>
    </row>
    <row r="416" ht="15.75" customHeight="1">
      <c r="I416" s="57"/>
      <c r="J416" s="57"/>
      <c r="K416" s="57"/>
    </row>
    <row r="417" ht="15.75" customHeight="1">
      <c r="I417" s="57"/>
      <c r="J417" s="57"/>
      <c r="K417" s="57"/>
    </row>
    <row r="418" ht="15.75" customHeight="1">
      <c r="I418" s="57"/>
      <c r="J418" s="57"/>
      <c r="K418" s="57"/>
    </row>
    <row r="419" ht="15.75" customHeight="1">
      <c r="I419" s="57"/>
      <c r="J419" s="57"/>
      <c r="K419" s="57"/>
    </row>
    <row r="420" ht="15.75" customHeight="1">
      <c r="I420" s="57"/>
      <c r="J420" s="57"/>
      <c r="K420" s="57"/>
    </row>
    <row r="421" ht="15.75" customHeight="1">
      <c r="I421" s="57"/>
      <c r="J421" s="57"/>
      <c r="K421" s="57"/>
    </row>
    <row r="422" ht="15.75" customHeight="1">
      <c r="I422" s="57"/>
      <c r="J422" s="57"/>
      <c r="K422" s="57"/>
    </row>
    <row r="423" ht="15.75" customHeight="1">
      <c r="I423" s="57"/>
      <c r="J423" s="57"/>
      <c r="K423" s="57"/>
    </row>
    <row r="424" ht="15.75" customHeight="1">
      <c r="I424" s="57"/>
      <c r="J424" s="57"/>
      <c r="K424" s="57"/>
    </row>
    <row r="425" ht="15.75" customHeight="1">
      <c r="I425" s="57"/>
      <c r="J425" s="57"/>
      <c r="K425" s="57"/>
    </row>
    <row r="426" ht="15.75" customHeight="1">
      <c r="I426" s="57"/>
      <c r="J426" s="57"/>
      <c r="K426" s="57"/>
    </row>
    <row r="427" ht="15.75" customHeight="1">
      <c r="I427" s="57"/>
      <c r="J427" s="57"/>
      <c r="K427" s="57"/>
    </row>
    <row r="428" ht="15.75" customHeight="1">
      <c r="I428" s="57"/>
      <c r="J428" s="57"/>
      <c r="K428" s="57"/>
    </row>
    <row r="429" ht="15.75" customHeight="1">
      <c r="I429" s="57"/>
      <c r="J429" s="57"/>
      <c r="K429" s="57"/>
    </row>
    <row r="430" ht="15.75" customHeight="1">
      <c r="I430" s="57"/>
      <c r="J430" s="57"/>
      <c r="K430" s="57"/>
    </row>
    <row r="431" ht="15.75" customHeight="1">
      <c r="I431" s="57"/>
      <c r="J431" s="57"/>
      <c r="K431" s="57"/>
    </row>
    <row r="432" ht="15.75" customHeight="1">
      <c r="I432" s="57"/>
      <c r="J432" s="57"/>
      <c r="K432" s="57"/>
    </row>
    <row r="433" ht="15.75" customHeight="1">
      <c r="I433" s="57"/>
      <c r="J433" s="57"/>
      <c r="K433" s="57"/>
    </row>
    <row r="434" ht="15.75" customHeight="1">
      <c r="I434" s="57"/>
      <c r="J434" s="57"/>
      <c r="K434" s="57"/>
    </row>
    <row r="435" ht="15.75" customHeight="1">
      <c r="I435" s="57"/>
      <c r="J435" s="57"/>
      <c r="K435" s="57"/>
    </row>
    <row r="436" ht="15.75" customHeight="1">
      <c r="I436" s="57"/>
      <c r="J436" s="57"/>
      <c r="K436" s="57"/>
    </row>
    <row r="437" ht="15.75" customHeight="1">
      <c r="I437" s="57"/>
      <c r="J437" s="57"/>
      <c r="K437" s="57"/>
    </row>
    <row r="438" ht="15.75" customHeight="1">
      <c r="I438" s="57"/>
      <c r="J438" s="57"/>
      <c r="K438" s="57"/>
    </row>
    <row r="439" ht="15.75" customHeight="1">
      <c r="I439" s="57"/>
      <c r="J439" s="57"/>
      <c r="K439" s="57"/>
    </row>
    <row r="440" ht="15.75" customHeight="1">
      <c r="I440" s="57"/>
      <c r="J440" s="57"/>
      <c r="K440" s="57"/>
    </row>
    <row r="441" ht="15.75" customHeight="1">
      <c r="I441" s="57"/>
      <c r="J441" s="57"/>
      <c r="K441" s="57"/>
    </row>
    <row r="442" ht="15.75" customHeight="1">
      <c r="I442" s="57"/>
      <c r="J442" s="57"/>
      <c r="K442" s="57"/>
    </row>
    <row r="443" ht="15.75" customHeight="1">
      <c r="I443" s="57"/>
      <c r="J443" s="57"/>
      <c r="K443" s="57"/>
    </row>
    <row r="444" ht="15.75" customHeight="1">
      <c r="I444" s="57"/>
      <c r="J444" s="57"/>
      <c r="K444" s="57"/>
    </row>
    <row r="445" ht="15.75" customHeight="1">
      <c r="I445" s="57"/>
      <c r="J445" s="57"/>
      <c r="K445" s="57"/>
    </row>
    <row r="446" ht="15.75" customHeight="1">
      <c r="I446" s="57"/>
      <c r="J446" s="57"/>
      <c r="K446" s="57"/>
    </row>
    <row r="447" ht="15.75" customHeight="1">
      <c r="I447" s="57"/>
      <c r="J447" s="57"/>
      <c r="K447" s="57"/>
    </row>
    <row r="448" ht="15.75" customHeight="1">
      <c r="I448" s="57"/>
      <c r="J448" s="57"/>
      <c r="K448" s="57"/>
    </row>
    <row r="449" ht="15.75" customHeight="1">
      <c r="I449" s="57"/>
      <c r="J449" s="57"/>
      <c r="K449" s="57"/>
    </row>
    <row r="450" ht="15.75" customHeight="1">
      <c r="I450" s="57"/>
      <c r="J450" s="57"/>
      <c r="K450" s="57"/>
    </row>
    <row r="451" ht="15.75" customHeight="1">
      <c r="I451" s="57"/>
      <c r="J451" s="57"/>
      <c r="K451" s="57"/>
    </row>
    <row r="452" ht="15.75" customHeight="1">
      <c r="I452" s="57"/>
      <c r="J452" s="57"/>
      <c r="K452" s="57"/>
    </row>
    <row r="453" ht="15.75" customHeight="1">
      <c r="I453" s="57"/>
      <c r="J453" s="57"/>
      <c r="K453" s="57"/>
    </row>
    <row r="454" ht="15.75" customHeight="1">
      <c r="I454" s="57"/>
      <c r="J454" s="57"/>
      <c r="K454" s="57"/>
    </row>
    <row r="455" ht="15.75" customHeight="1">
      <c r="I455" s="57"/>
      <c r="J455" s="57"/>
      <c r="K455" s="57"/>
    </row>
    <row r="456" ht="15.75" customHeight="1">
      <c r="I456" s="57"/>
      <c r="J456" s="57"/>
      <c r="K456" s="57"/>
    </row>
    <row r="457" ht="15.75" customHeight="1">
      <c r="I457" s="57"/>
      <c r="J457" s="57"/>
      <c r="K457" s="57"/>
    </row>
    <row r="458" ht="15.75" customHeight="1">
      <c r="I458" s="57"/>
      <c r="J458" s="57"/>
      <c r="K458" s="57"/>
    </row>
    <row r="459" ht="15.75" customHeight="1">
      <c r="I459" s="57"/>
      <c r="J459" s="57"/>
      <c r="K459" s="57"/>
    </row>
    <row r="460" ht="15.75" customHeight="1">
      <c r="I460" s="57"/>
      <c r="J460" s="57"/>
      <c r="K460" s="57"/>
    </row>
    <row r="461" ht="15.75" customHeight="1">
      <c r="I461" s="57"/>
      <c r="J461" s="57"/>
      <c r="K461" s="57"/>
    </row>
    <row r="462" ht="15.75" customHeight="1">
      <c r="I462" s="57"/>
      <c r="J462" s="57"/>
      <c r="K462" s="57"/>
    </row>
    <row r="463" ht="15.75" customHeight="1">
      <c r="I463" s="57"/>
      <c r="J463" s="57"/>
      <c r="K463" s="57"/>
    </row>
    <row r="464" ht="15.75" customHeight="1">
      <c r="I464" s="57"/>
      <c r="J464" s="57"/>
      <c r="K464" s="57"/>
    </row>
    <row r="465" ht="15.75" customHeight="1">
      <c r="I465" s="57"/>
      <c r="J465" s="57"/>
      <c r="K465" s="57"/>
    </row>
    <row r="466" ht="15.75" customHeight="1">
      <c r="I466" s="57"/>
      <c r="J466" s="57"/>
      <c r="K466" s="57"/>
    </row>
    <row r="467" ht="15.75" customHeight="1">
      <c r="I467" s="57"/>
      <c r="J467" s="57"/>
      <c r="K467" s="57"/>
    </row>
    <row r="468" ht="15.75" customHeight="1">
      <c r="I468" s="57"/>
      <c r="J468" s="57"/>
      <c r="K468" s="57"/>
    </row>
    <row r="469" ht="15.75" customHeight="1">
      <c r="I469" s="57"/>
      <c r="J469" s="57"/>
      <c r="K469" s="57"/>
    </row>
    <row r="470" ht="15.75" customHeight="1">
      <c r="I470" s="57"/>
      <c r="J470" s="57"/>
      <c r="K470" s="57"/>
    </row>
    <row r="471" ht="15.75" customHeight="1">
      <c r="I471" s="57"/>
      <c r="J471" s="57"/>
      <c r="K471" s="57"/>
    </row>
    <row r="472" ht="15.75" customHeight="1">
      <c r="I472" s="57"/>
      <c r="J472" s="57"/>
      <c r="K472" s="57"/>
    </row>
    <row r="473" ht="15.75" customHeight="1">
      <c r="I473" s="57"/>
      <c r="J473" s="57"/>
      <c r="K473" s="57"/>
    </row>
    <row r="474" ht="15.75" customHeight="1">
      <c r="I474" s="57"/>
      <c r="J474" s="57"/>
      <c r="K474" s="57"/>
    </row>
    <row r="475" ht="15.75" customHeight="1">
      <c r="I475" s="57"/>
      <c r="J475" s="57"/>
      <c r="K475" s="57"/>
    </row>
    <row r="476" ht="15.75" customHeight="1">
      <c r="I476" s="57"/>
      <c r="J476" s="57"/>
      <c r="K476" s="57"/>
    </row>
    <row r="477" ht="15.75" customHeight="1">
      <c r="I477" s="57"/>
      <c r="J477" s="57"/>
      <c r="K477" s="57"/>
    </row>
    <row r="478" ht="15.75" customHeight="1">
      <c r="I478" s="57"/>
      <c r="J478" s="57"/>
      <c r="K478" s="57"/>
    </row>
    <row r="479" ht="15.75" customHeight="1">
      <c r="I479" s="57"/>
      <c r="J479" s="57"/>
      <c r="K479" s="57"/>
    </row>
    <row r="480" ht="15.75" customHeight="1">
      <c r="I480" s="57"/>
      <c r="J480" s="57"/>
      <c r="K480" s="57"/>
    </row>
    <row r="481" ht="15.75" customHeight="1">
      <c r="I481" s="57"/>
      <c r="J481" s="57"/>
      <c r="K481" s="57"/>
    </row>
    <row r="482" ht="15.75" customHeight="1">
      <c r="I482" s="57"/>
      <c r="J482" s="57"/>
      <c r="K482" s="57"/>
    </row>
    <row r="483" ht="15.75" customHeight="1">
      <c r="I483" s="57"/>
      <c r="J483" s="57"/>
      <c r="K483" s="57"/>
    </row>
    <row r="484" ht="15.75" customHeight="1">
      <c r="I484" s="57"/>
      <c r="J484" s="57"/>
      <c r="K484" s="57"/>
    </row>
    <row r="485" ht="15.75" customHeight="1">
      <c r="I485" s="57"/>
      <c r="J485" s="57"/>
      <c r="K485" s="57"/>
    </row>
    <row r="486" ht="15.75" customHeight="1">
      <c r="I486" s="57"/>
      <c r="J486" s="57"/>
      <c r="K486" s="57"/>
    </row>
    <row r="487" ht="15.75" customHeight="1">
      <c r="I487" s="57"/>
      <c r="J487" s="57"/>
      <c r="K487" s="57"/>
    </row>
    <row r="488" ht="15.75" customHeight="1">
      <c r="I488" s="57"/>
      <c r="J488" s="57"/>
      <c r="K488" s="57"/>
    </row>
    <row r="489" ht="15.75" customHeight="1">
      <c r="I489" s="57"/>
      <c r="J489" s="57"/>
      <c r="K489" s="57"/>
    </row>
    <row r="490" ht="15.75" customHeight="1">
      <c r="I490" s="57"/>
      <c r="J490" s="57"/>
      <c r="K490" s="57"/>
    </row>
    <row r="491" ht="15.75" customHeight="1">
      <c r="I491" s="57"/>
      <c r="J491" s="57"/>
      <c r="K491" s="57"/>
    </row>
    <row r="492" ht="15.75" customHeight="1">
      <c r="I492" s="57"/>
      <c r="J492" s="57"/>
      <c r="K492" s="57"/>
    </row>
    <row r="493" ht="15.75" customHeight="1">
      <c r="I493" s="57"/>
      <c r="J493" s="57"/>
      <c r="K493" s="57"/>
    </row>
    <row r="494" ht="15.75" customHeight="1">
      <c r="I494" s="57"/>
      <c r="J494" s="57"/>
      <c r="K494" s="57"/>
    </row>
    <row r="495" ht="15.75" customHeight="1">
      <c r="I495" s="57"/>
      <c r="J495" s="57"/>
      <c r="K495" s="57"/>
    </row>
    <row r="496" ht="15.75" customHeight="1">
      <c r="I496" s="57"/>
      <c r="J496" s="57"/>
      <c r="K496" s="57"/>
    </row>
    <row r="497" ht="15.75" customHeight="1">
      <c r="I497" s="57"/>
      <c r="J497" s="57"/>
      <c r="K497" s="57"/>
    </row>
    <row r="498" ht="15.75" customHeight="1">
      <c r="I498" s="57"/>
      <c r="J498" s="57"/>
      <c r="K498" s="57"/>
    </row>
    <row r="499" ht="15.75" customHeight="1">
      <c r="I499" s="57"/>
      <c r="J499" s="57"/>
      <c r="K499" s="57"/>
    </row>
    <row r="500" ht="15.75" customHeight="1">
      <c r="I500" s="57"/>
      <c r="J500" s="57"/>
      <c r="K500" s="57"/>
    </row>
    <row r="501" ht="15.75" customHeight="1">
      <c r="I501" s="57"/>
      <c r="J501" s="57"/>
      <c r="K501" s="57"/>
    </row>
    <row r="502" ht="15.75" customHeight="1">
      <c r="I502" s="57"/>
      <c r="J502" s="57"/>
      <c r="K502" s="57"/>
    </row>
    <row r="503" ht="15.75" customHeight="1">
      <c r="I503" s="57"/>
      <c r="J503" s="57"/>
      <c r="K503" s="57"/>
    </row>
    <row r="504" ht="15.75" customHeight="1">
      <c r="I504" s="57"/>
      <c r="J504" s="57"/>
      <c r="K504" s="57"/>
    </row>
    <row r="505" ht="15.75" customHeight="1">
      <c r="I505" s="57"/>
      <c r="J505" s="57"/>
      <c r="K505" s="57"/>
    </row>
    <row r="506" ht="15.75" customHeight="1">
      <c r="I506" s="57"/>
      <c r="J506" s="57"/>
      <c r="K506" s="57"/>
    </row>
    <row r="507" ht="15.75" customHeight="1">
      <c r="I507" s="57"/>
      <c r="J507" s="57"/>
      <c r="K507" s="57"/>
    </row>
    <row r="508" ht="15.75" customHeight="1">
      <c r="I508" s="57"/>
      <c r="J508" s="57"/>
      <c r="K508" s="57"/>
    </row>
    <row r="509" ht="15.75" customHeight="1">
      <c r="I509" s="57"/>
      <c r="J509" s="57"/>
      <c r="K509" s="57"/>
    </row>
    <row r="510" ht="15.75" customHeight="1">
      <c r="I510" s="57"/>
      <c r="J510" s="57"/>
      <c r="K510" s="57"/>
    </row>
    <row r="511" ht="15.75" customHeight="1">
      <c r="I511" s="57"/>
      <c r="J511" s="57"/>
      <c r="K511" s="57"/>
    </row>
    <row r="512" ht="15.75" customHeight="1">
      <c r="I512" s="57"/>
      <c r="J512" s="57"/>
      <c r="K512" s="57"/>
    </row>
    <row r="513" ht="15.75" customHeight="1">
      <c r="I513" s="57"/>
      <c r="J513" s="57"/>
      <c r="K513" s="57"/>
    </row>
    <row r="514" ht="15.75" customHeight="1">
      <c r="I514" s="57"/>
      <c r="J514" s="57"/>
      <c r="K514" s="57"/>
    </row>
    <row r="515" ht="15.75" customHeight="1">
      <c r="I515" s="57"/>
      <c r="J515" s="57"/>
      <c r="K515" s="57"/>
    </row>
    <row r="516" ht="15.75" customHeight="1">
      <c r="I516" s="57"/>
      <c r="J516" s="57"/>
      <c r="K516" s="57"/>
    </row>
    <row r="517" ht="15.75" customHeight="1">
      <c r="I517" s="57"/>
      <c r="J517" s="57"/>
      <c r="K517" s="57"/>
    </row>
    <row r="518" ht="15.75" customHeight="1">
      <c r="I518" s="57"/>
      <c r="J518" s="57"/>
      <c r="K518" s="57"/>
    </row>
    <row r="519" ht="15.75" customHeight="1">
      <c r="I519" s="57"/>
      <c r="J519" s="57"/>
      <c r="K519" s="57"/>
    </row>
    <row r="520" ht="15.75" customHeight="1">
      <c r="I520" s="57"/>
      <c r="J520" s="57"/>
      <c r="K520" s="57"/>
    </row>
    <row r="521" ht="15.75" customHeight="1">
      <c r="I521" s="57"/>
      <c r="J521" s="57"/>
      <c r="K521" s="57"/>
    </row>
    <row r="522" ht="15.75" customHeight="1">
      <c r="I522" s="57"/>
      <c r="J522" s="57"/>
      <c r="K522" s="57"/>
    </row>
    <row r="523" ht="15.75" customHeight="1">
      <c r="I523" s="57"/>
      <c r="J523" s="57"/>
      <c r="K523" s="57"/>
    </row>
    <row r="524" ht="15.75" customHeight="1">
      <c r="I524" s="57"/>
      <c r="J524" s="57"/>
      <c r="K524" s="57"/>
    </row>
    <row r="525" ht="15.75" customHeight="1">
      <c r="I525" s="57"/>
      <c r="J525" s="57"/>
      <c r="K525" s="57"/>
    </row>
    <row r="526" ht="15.75" customHeight="1">
      <c r="I526" s="57"/>
      <c r="J526" s="57"/>
      <c r="K526" s="57"/>
    </row>
    <row r="527" ht="15.75" customHeight="1">
      <c r="I527" s="57"/>
      <c r="J527" s="57"/>
      <c r="K527" s="57"/>
    </row>
    <row r="528" ht="15.75" customHeight="1">
      <c r="I528" s="57"/>
      <c r="J528" s="57"/>
      <c r="K528" s="57"/>
    </row>
    <row r="529" ht="15.75" customHeight="1">
      <c r="I529" s="57"/>
      <c r="J529" s="57"/>
      <c r="K529" s="57"/>
    </row>
    <row r="530" ht="15.75" customHeight="1">
      <c r="I530" s="57"/>
      <c r="J530" s="57"/>
      <c r="K530" s="57"/>
    </row>
    <row r="531" ht="15.75" customHeight="1">
      <c r="I531" s="57"/>
      <c r="J531" s="57"/>
      <c r="K531" s="57"/>
    </row>
    <row r="532" ht="15.75" customHeight="1">
      <c r="I532" s="57"/>
      <c r="J532" s="57"/>
      <c r="K532" s="57"/>
    </row>
    <row r="533" ht="15.75" customHeight="1">
      <c r="I533" s="57"/>
      <c r="J533" s="57"/>
      <c r="K533" s="57"/>
    </row>
    <row r="534" ht="15.75" customHeight="1">
      <c r="I534" s="57"/>
      <c r="J534" s="57"/>
      <c r="K534" s="57"/>
    </row>
    <row r="535" ht="15.75" customHeight="1">
      <c r="I535" s="57"/>
      <c r="J535" s="57"/>
      <c r="K535" s="57"/>
    </row>
    <row r="536" ht="15.75" customHeight="1">
      <c r="I536" s="57"/>
      <c r="J536" s="57"/>
      <c r="K536" s="57"/>
    </row>
    <row r="537" ht="15.75" customHeight="1">
      <c r="I537" s="57"/>
      <c r="J537" s="57"/>
      <c r="K537" s="57"/>
    </row>
    <row r="538" ht="15.75" customHeight="1">
      <c r="I538" s="57"/>
      <c r="J538" s="57"/>
      <c r="K538" s="57"/>
    </row>
    <row r="539" ht="15.75" customHeight="1">
      <c r="I539" s="57"/>
      <c r="J539" s="57"/>
      <c r="K539" s="57"/>
    </row>
    <row r="540" ht="15.75" customHeight="1">
      <c r="I540" s="57"/>
      <c r="J540" s="57"/>
      <c r="K540" s="57"/>
    </row>
    <row r="541" ht="15.75" customHeight="1">
      <c r="I541" s="57"/>
      <c r="J541" s="57"/>
      <c r="K541" s="57"/>
    </row>
    <row r="542" ht="15.75" customHeight="1">
      <c r="I542" s="57"/>
      <c r="J542" s="57"/>
      <c r="K542" s="57"/>
    </row>
    <row r="543" ht="15.75" customHeight="1">
      <c r="I543" s="57"/>
      <c r="J543" s="57"/>
      <c r="K543" s="57"/>
    </row>
    <row r="544" ht="15.75" customHeight="1">
      <c r="I544" s="57"/>
      <c r="J544" s="57"/>
      <c r="K544" s="57"/>
    </row>
    <row r="545" ht="15.75" customHeight="1">
      <c r="I545" s="57"/>
      <c r="J545" s="57"/>
      <c r="K545" s="57"/>
    </row>
    <row r="546" ht="15.75" customHeight="1">
      <c r="I546" s="57"/>
      <c r="J546" s="57"/>
      <c r="K546" s="57"/>
    </row>
    <row r="547" ht="15.75" customHeight="1">
      <c r="I547" s="57"/>
      <c r="J547" s="57"/>
      <c r="K547" s="57"/>
    </row>
    <row r="548" ht="15.75" customHeight="1">
      <c r="I548" s="57"/>
      <c r="J548" s="57"/>
      <c r="K548" s="57"/>
    </row>
    <row r="549" ht="15.75" customHeight="1">
      <c r="I549" s="57"/>
      <c r="J549" s="57"/>
      <c r="K549" s="57"/>
    </row>
    <row r="550" ht="15.75" customHeight="1">
      <c r="I550" s="57"/>
      <c r="J550" s="57"/>
      <c r="K550" s="57"/>
    </row>
    <row r="551" ht="15.75" customHeight="1">
      <c r="I551" s="57"/>
      <c r="J551" s="57"/>
      <c r="K551" s="57"/>
    </row>
    <row r="552" ht="15.75" customHeight="1">
      <c r="I552" s="57"/>
      <c r="J552" s="57"/>
      <c r="K552" s="57"/>
    </row>
    <row r="553" ht="15.75" customHeight="1">
      <c r="I553" s="57"/>
      <c r="J553" s="57"/>
      <c r="K553" s="57"/>
    </row>
    <row r="554" ht="15.75" customHeight="1">
      <c r="I554" s="57"/>
      <c r="J554" s="57"/>
      <c r="K554" s="57"/>
    </row>
    <row r="555" ht="15.75" customHeight="1">
      <c r="I555" s="57"/>
      <c r="J555" s="57"/>
      <c r="K555" s="57"/>
    </row>
    <row r="556" ht="15.75" customHeight="1">
      <c r="I556" s="57"/>
      <c r="J556" s="57"/>
      <c r="K556" s="57"/>
    </row>
    <row r="557" ht="15.75" customHeight="1">
      <c r="I557" s="57"/>
      <c r="J557" s="57"/>
      <c r="K557" s="57"/>
    </row>
    <row r="558" ht="15.75" customHeight="1">
      <c r="I558" s="57"/>
      <c r="J558" s="57"/>
      <c r="K558" s="57"/>
    </row>
    <row r="559" ht="15.75" customHeight="1">
      <c r="I559" s="57"/>
      <c r="J559" s="57"/>
      <c r="K559" s="57"/>
    </row>
    <row r="560" ht="15.75" customHeight="1">
      <c r="I560" s="57"/>
      <c r="J560" s="57"/>
      <c r="K560" s="57"/>
    </row>
    <row r="561" ht="15.75" customHeight="1">
      <c r="I561" s="57"/>
      <c r="J561" s="57"/>
      <c r="K561" s="57"/>
    </row>
    <row r="562" ht="15.75" customHeight="1">
      <c r="I562" s="57"/>
      <c r="J562" s="57"/>
      <c r="K562" s="57"/>
    </row>
    <row r="563" ht="15.75" customHeight="1">
      <c r="I563" s="57"/>
      <c r="J563" s="57"/>
      <c r="K563" s="57"/>
    </row>
    <row r="564" ht="15.75" customHeight="1">
      <c r="I564" s="57"/>
      <c r="J564" s="57"/>
      <c r="K564" s="57"/>
    </row>
    <row r="565" ht="15.75" customHeight="1">
      <c r="I565" s="57"/>
      <c r="J565" s="57"/>
      <c r="K565" s="57"/>
    </row>
    <row r="566" ht="15.75" customHeight="1">
      <c r="I566" s="57"/>
      <c r="J566" s="57"/>
      <c r="K566" s="57"/>
    </row>
    <row r="567" ht="15.75" customHeight="1">
      <c r="I567" s="57"/>
      <c r="J567" s="57"/>
      <c r="K567" s="57"/>
    </row>
    <row r="568" ht="15.75" customHeight="1">
      <c r="I568" s="57"/>
      <c r="J568" s="57"/>
      <c r="K568" s="57"/>
    </row>
    <row r="569" ht="15.75" customHeight="1">
      <c r="I569" s="57"/>
      <c r="J569" s="57"/>
      <c r="K569" s="57"/>
    </row>
    <row r="570" ht="15.75" customHeight="1">
      <c r="I570" s="57"/>
      <c r="J570" s="57"/>
      <c r="K570" s="57"/>
    </row>
    <row r="571" ht="15.75" customHeight="1">
      <c r="I571" s="57"/>
      <c r="J571" s="57"/>
      <c r="K571" s="57"/>
    </row>
    <row r="572" ht="15.75" customHeight="1">
      <c r="I572" s="57"/>
      <c r="J572" s="57"/>
      <c r="K572" s="57"/>
    </row>
    <row r="573" ht="15.75" customHeight="1">
      <c r="I573" s="57"/>
      <c r="J573" s="57"/>
      <c r="K573" s="57"/>
    </row>
    <row r="574" ht="15.75" customHeight="1">
      <c r="I574" s="57"/>
      <c r="J574" s="57"/>
      <c r="K574" s="57"/>
    </row>
    <row r="575" ht="15.75" customHeight="1">
      <c r="I575" s="57"/>
      <c r="J575" s="57"/>
      <c r="K575" s="57"/>
    </row>
    <row r="576" ht="15.75" customHeight="1">
      <c r="I576" s="57"/>
      <c r="J576" s="57"/>
      <c r="K576" s="57"/>
    </row>
    <row r="577" ht="15.75" customHeight="1">
      <c r="I577" s="57"/>
      <c r="J577" s="57"/>
      <c r="K577" s="57"/>
    </row>
    <row r="578" ht="15.75" customHeight="1">
      <c r="I578" s="57"/>
      <c r="J578" s="57"/>
      <c r="K578" s="57"/>
    </row>
    <row r="579" ht="15.75" customHeight="1">
      <c r="I579" s="57"/>
      <c r="J579" s="57"/>
      <c r="K579" s="57"/>
    </row>
    <row r="580" ht="15.75" customHeight="1">
      <c r="I580" s="57"/>
      <c r="J580" s="57"/>
      <c r="K580" s="57"/>
    </row>
    <row r="581" ht="15.75" customHeight="1">
      <c r="I581" s="57"/>
      <c r="J581" s="57"/>
      <c r="K581" s="57"/>
    </row>
    <row r="582" ht="15.75" customHeight="1">
      <c r="I582" s="57"/>
      <c r="J582" s="57"/>
      <c r="K582" s="57"/>
    </row>
    <row r="583" ht="15.75" customHeight="1">
      <c r="I583" s="57"/>
      <c r="J583" s="57"/>
      <c r="K583" s="57"/>
    </row>
    <row r="584" ht="15.75" customHeight="1">
      <c r="I584" s="57"/>
      <c r="J584" s="57"/>
      <c r="K584" s="57"/>
    </row>
    <row r="585" ht="15.75" customHeight="1">
      <c r="I585" s="57"/>
      <c r="J585" s="57"/>
      <c r="K585" s="57"/>
    </row>
    <row r="586" ht="15.75" customHeight="1">
      <c r="I586" s="57"/>
      <c r="J586" s="57"/>
      <c r="K586" s="57"/>
    </row>
    <row r="587" ht="15.75" customHeight="1">
      <c r="I587" s="57"/>
      <c r="J587" s="57"/>
      <c r="K587" s="57"/>
    </row>
    <row r="588" ht="15.75" customHeight="1">
      <c r="I588" s="57"/>
      <c r="J588" s="57"/>
      <c r="K588" s="57"/>
    </row>
    <row r="589" ht="15.75" customHeight="1">
      <c r="I589" s="57"/>
      <c r="J589" s="57"/>
      <c r="K589" s="57"/>
    </row>
    <row r="590" ht="15.75" customHeight="1">
      <c r="I590" s="57"/>
      <c r="J590" s="57"/>
      <c r="K590" s="57"/>
    </row>
    <row r="591" ht="15.75" customHeight="1">
      <c r="I591" s="57"/>
      <c r="J591" s="57"/>
      <c r="K591" s="57"/>
    </row>
    <row r="592" ht="15.75" customHeight="1">
      <c r="I592" s="57"/>
      <c r="J592" s="57"/>
      <c r="K592" s="57"/>
    </row>
    <row r="593" ht="15.75" customHeight="1">
      <c r="I593" s="57"/>
      <c r="J593" s="57"/>
      <c r="K593" s="57"/>
    </row>
    <row r="594" ht="15.75" customHeight="1">
      <c r="I594" s="57"/>
      <c r="J594" s="57"/>
      <c r="K594" s="57"/>
    </row>
    <row r="595" ht="15.75" customHeight="1">
      <c r="I595" s="57"/>
      <c r="J595" s="57"/>
      <c r="K595" s="57"/>
    </row>
    <row r="596" ht="15.75" customHeight="1">
      <c r="I596" s="57"/>
      <c r="J596" s="57"/>
      <c r="K596" s="57"/>
    </row>
    <row r="597" ht="15.75" customHeight="1">
      <c r="I597" s="57"/>
      <c r="J597" s="57"/>
      <c r="K597" s="57"/>
    </row>
    <row r="598" ht="15.75" customHeight="1">
      <c r="I598" s="57"/>
      <c r="J598" s="57"/>
      <c r="K598" s="57"/>
    </row>
    <row r="599" ht="15.75" customHeight="1">
      <c r="I599" s="57"/>
      <c r="J599" s="57"/>
      <c r="K599" s="57"/>
    </row>
    <row r="600" ht="15.75" customHeight="1">
      <c r="I600" s="57"/>
      <c r="J600" s="57"/>
      <c r="K600" s="57"/>
    </row>
    <row r="601" ht="15.75" customHeight="1">
      <c r="I601" s="57"/>
      <c r="J601" s="57"/>
      <c r="K601" s="57"/>
    </row>
    <row r="602" ht="15.75" customHeight="1">
      <c r="I602" s="57"/>
      <c r="J602" s="57"/>
      <c r="K602" s="57"/>
    </row>
    <row r="603" ht="15.75" customHeight="1">
      <c r="I603" s="57"/>
      <c r="J603" s="57"/>
      <c r="K603" s="57"/>
    </row>
    <row r="604" ht="15.75" customHeight="1">
      <c r="I604" s="57"/>
      <c r="J604" s="57"/>
      <c r="K604" s="57"/>
    </row>
    <row r="605" ht="15.75" customHeight="1">
      <c r="I605" s="57"/>
      <c r="J605" s="57"/>
      <c r="K605" s="57"/>
    </row>
    <row r="606" ht="15.75" customHeight="1">
      <c r="I606" s="57"/>
      <c r="J606" s="57"/>
      <c r="K606" s="57"/>
    </row>
    <row r="607" ht="15.75" customHeight="1">
      <c r="I607" s="57"/>
      <c r="J607" s="57"/>
      <c r="K607" s="57"/>
    </row>
    <row r="608" ht="15.75" customHeight="1">
      <c r="I608" s="57"/>
      <c r="J608" s="57"/>
      <c r="K608" s="57"/>
    </row>
    <row r="609" ht="15.75" customHeight="1">
      <c r="I609" s="57"/>
      <c r="J609" s="57"/>
      <c r="K609" s="57"/>
    </row>
    <row r="610" ht="15.75" customHeight="1">
      <c r="I610" s="57"/>
      <c r="J610" s="57"/>
      <c r="K610" s="57"/>
    </row>
    <row r="611" ht="15.75" customHeight="1">
      <c r="I611" s="57"/>
      <c r="J611" s="57"/>
      <c r="K611" s="57"/>
    </row>
    <row r="612" ht="15.75" customHeight="1">
      <c r="I612" s="57"/>
      <c r="J612" s="57"/>
      <c r="K612" s="57"/>
    </row>
    <row r="613" ht="15.75" customHeight="1">
      <c r="I613" s="57"/>
      <c r="J613" s="57"/>
      <c r="K613" s="57"/>
    </row>
    <row r="614" ht="15.75" customHeight="1">
      <c r="I614" s="57"/>
      <c r="J614" s="57"/>
      <c r="K614" s="57"/>
    </row>
    <row r="615" ht="15.75" customHeight="1">
      <c r="I615" s="57"/>
      <c r="J615" s="57"/>
      <c r="K615" s="57"/>
    </row>
    <row r="616" ht="15.75" customHeight="1">
      <c r="I616" s="57"/>
      <c r="J616" s="57"/>
      <c r="K616" s="57"/>
    </row>
    <row r="617" ht="15.75" customHeight="1">
      <c r="I617" s="57"/>
      <c r="J617" s="57"/>
      <c r="K617" s="57"/>
    </row>
    <row r="618" ht="15.75" customHeight="1">
      <c r="I618" s="57"/>
      <c r="J618" s="57"/>
      <c r="K618" s="57"/>
    </row>
    <row r="619" ht="15.75" customHeight="1">
      <c r="I619" s="57"/>
      <c r="J619" s="57"/>
      <c r="K619" s="57"/>
    </row>
    <row r="620" ht="15.75" customHeight="1">
      <c r="I620" s="57"/>
      <c r="J620" s="57"/>
      <c r="K620" s="57"/>
    </row>
    <row r="621" ht="15.75" customHeight="1">
      <c r="I621" s="57"/>
      <c r="J621" s="57"/>
      <c r="K621" s="57"/>
    </row>
    <row r="622" ht="15.75" customHeight="1">
      <c r="I622" s="57"/>
      <c r="J622" s="57"/>
      <c r="K622" s="57"/>
    </row>
    <row r="623" ht="15.75" customHeight="1">
      <c r="I623" s="57"/>
      <c r="J623" s="57"/>
      <c r="K623" s="57"/>
    </row>
    <row r="624" ht="15.75" customHeight="1">
      <c r="I624" s="57"/>
      <c r="J624" s="57"/>
      <c r="K624" s="57"/>
    </row>
    <row r="625" ht="15.75" customHeight="1">
      <c r="I625" s="57"/>
      <c r="J625" s="57"/>
      <c r="K625" s="57"/>
    </row>
    <row r="626" ht="15.75" customHeight="1">
      <c r="I626" s="57"/>
      <c r="J626" s="57"/>
      <c r="K626" s="57"/>
    </row>
    <row r="627" ht="15.75" customHeight="1">
      <c r="I627" s="57"/>
      <c r="J627" s="57"/>
      <c r="K627" s="57"/>
    </row>
    <row r="628" ht="15.75" customHeight="1">
      <c r="I628" s="57"/>
      <c r="J628" s="57"/>
      <c r="K628" s="57"/>
    </row>
    <row r="629" ht="15.75" customHeight="1">
      <c r="I629" s="57"/>
      <c r="J629" s="57"/>
      <c r="K629" s="57"/>
    </row>
    <row r="630" ht="15.75" customHeight="1">
      <c r="I630" s="57"/>
      <c r="J630" s="57"/>
      <c r="K630" s="57"/>
    </row>
    <row r="631" ht="15.75" customHeight="1">
      <c r="I631" s="57"/>
      <c r="J631" s="57"/>
      <c r="K631" s="57"/>
    </row>
    <row r="632" ht="15.75" customHeight="1">
      <c r="I632" s="57"/>
      <c r="J632" s="57"/>
      <c r="K632" s="57"/>
    </row>
    <row r="633" ht="15.75" customHeight="1">
      <c r="I633" s="57"/>
      <c r="J633" s="57"/>
      <c r="K633" s="57"/>
    </row>
    <row r="634" ht="15.75" customHeight="1">
      <c r="I634" s="57"/>
      <c r="J634" s="57"/>
      <c r="K634" s="57"/>
    </row>
    <row r="635" ht="15.75" customHeight="1">
      <c r="I635" s="57"/>
      <c r="J635" s="57"/>
      <c r="K635" s="57"/>
    </row>
    <row r="636" ht="15.75" customHeight="1">
      <c r="I636" s="57"/>
      <c r="J636" s="57"/>
      <c r="K636" s="57"/>
    </row>
    <row r="637" ht="15.75" customHeight="1">
      <c r="I637" s="57"/>
      <c r="J637" s="57"/>
      <c r="K637" s="57"/>
    </row>
    <row r="638" ht="15.75" customHeight="1">
      <c r="I638" s="57"/>
      <c r="J638" s="57"/>
      <c r="K638" s="57"/>
    </row>
    <row r="639" ht="15.75" customHeight="1">
      <c r="I639" s="57"/>
      <c r="J639" s="57"/>
      <c r="K639" s="57"/>
    </row>
    <row r="640" ht="15.75" customHeight="1">
      <c r="I640" s="57"/>
      <c r="J640" s="57"/>
      <c r="K640" s="57"/>
    </row>
    <row r="641" ht="15.75" customHeight="1">
      <c r="I641" s="57"/>
      <c r="J641" s="57"/>
      <c r="K641" s="57"/>
    </row>
    <row r="642" ht="15.75" customHeight="1">
      <c r="I642" s="57"/>
      <c r="J642" s="57"/>
      <c r="K642" s="57"/>
    </row>
    <row r="643" ht="15.75" customHeight="1">
      <c r="I643" s="57"/>
      <c r="J643" s="57"/>
      <c r="K643" s="57"/>
    </row>
    <row r="644" ht="15.75" customHeight="1">
      <c r="I644" s="57"/>
      <c r="J644" s="57"/>
      <c r="K644" s="57"/>
    </row>
    <row r="645" ht="15.75" customHeight="1">
      <c r="I645" s="57"/>
      <c r="J645" s="57"/>
      <c r="K645" s="57"/>
    </row>
    <row r="646" ht="15.75" customHeight="1">
      <c r="I646" s="57"/>
      <c r="J646" s="57"/>
      <c r="K646" s="57"/>
    </row>
    <row r="647" ht="15.75" customHeight="1">
      <c r="I647" s="57"/>
      <c r="J647" s="57"/>
      <c r="K647" s="57"/>
    </row>
    <row r="648" ht="15.75" customHeight="1">
      <c r="I648" s="57"/>
      <c r="J648" s="57"/>
      <c r="K648" s="57"/>
    </row>
    <row r="649" ht="15.75" customHeight="1">
      <c r="I649" s="57"/>
      <c r="J649" s="57"/>
      <c r="K649" s="57"/>
    </row>
    <row r="650" ht="15.75" customHeight="1">
      <c r="I650" s="57"/>
      <c r="J650" s="57"/>
      <c r="K650" s="57"/>
    </row>
    <row r="651" ht="15.75" customHeight="1">
      <c r="I651" s="57"/>
      <c r="J651" s="57"/>
      <c r="K651" s="57"/>
    </row>
    <row r="652" ht="15.75" customHeight="1">
      <c r="I652" s="57"/>
      <c r="J652" s="57"/>
      <c r="K652" s="57"/>
    </row>
    <row r="653" ht="15.75" customHeight="1">
      <c r="I653" s="57"/>
      <c r="J653" s="57"/>
      <c r="K653" s="57"/>
    </row>
    <row r="654" ht="15.75" customHeight="1">
      <c r="I654" s="57"/>
      <c r="J654" s="57"/>
      <c r="K654" s="57"/>
    </row>
    <row r="655" ht="15.75" customHeight="1">
      <c r="I655" s="57"/>
      <c r="J655" s="57"/>
      <c r="K655" s="57"/>
    </row>
    <row r="656" ht="15.75" customHeight="1">
      <c r="I656" s="57"/>
      <c r="J656" s="57"/>
      <c r="K656" s="57"/>
    </row>
    <row r="657" ht="15.75" customHeight="1">
      <c r="I657" s="57"/>
      <c r="J657" s="57"/>
      <c r="K657" s="57"/>
    </row>
    <row r="658" ht="15.75" customHeight="1">
      <c r="I658" s="57"/>
      <c r="J658" s="57"/>
      <c r="K658" s="57"/>
    </row>
    <row r="659" ht="15.75" customHeight="1">
      <c r="I659" s="57"/>
      <c r="J659" s="57"/>
      <c r="K659" s="57"/>
    </row>
    <row r="660" ht="15.75" customHeight="1">
      <c r="I660" s="57"/>
      <c r="J660" s="57"/>
      <c r="K660" s="57"/>
    </row>
    <row r="661" ht="15.75" customHeight="1">
      <c r="I661" s="57"/>
      <c r="J661" s="57"/>
      <c r="K661" s="57"/>
    </row>
    <row r="662" ht="15.75" customHeight="1">
      <c r="I662" s="57"/>
      <c r="J662" s="57"/>
      <c r="K662" s="57"/>
    </row>
    <row r="663" ht="15.75" customHeight="1">
      <c r="I663" s="57"/>
      <c r="J663" s="57"/>
      <c r="K663" s="57"/>
    </row>
    <row r="664" ht="15.75" customHeight="1">
      <c r="I664" s="57"/>
      <c r="J664" s="57"/>
      <c r="K664" s="57"/>
    </row>
    <row r="665" ht="15.75" customHeight="1">
      <c r="I665" s="57"/>
      <c r="J665" s="57"/>
      <c r="K665" s="57"/>
    </row>
    <row r="666" ht="15.75" customHeight="1">
      <c r="I666" s="57"/>
      <c r="J666" s="57"/>
      <c r="K666" s="57"/>
    </row>
    <row r="667" ht="15.75" customHeight="1">
      <c r="I667" s="57"/>
      <c r="J667" s="57"/>
      <c r="K667" s="57"/>
    </row>
    <row r="668" ht="15.75" customHeight="1">
      <c r="I668" s="57"/>
      <c r="J668" s="57"/>
      <c r="K668" s="57"/>
    </row>
    <row r="669" ht="15.75" customHeight="1">
      <c r="I669" s="57"/>
      <c r="J669" s="57"/>
      <c r="K669" s="57"/>
    </row>
    <row r="670" ht="15.75" customHeight="1">
      <c r="I670" s="57"/>
      <c r="J670" s="57"/>
      <c r="K670" s="57"/>
    </row>
    <row r="671" ht="15.75" customHeight="1">
      <c r="I671" s="57"/>
      <c r="J671" s="57"/>
      <c r="K671" s="57"/>
    </row>
    <row r="672" ht="15.75" customHeight="1">
      <c r="I672" s="57"/>
      <c r="J672" s="57"/>
      <c r="K672" s="57"/>
    </row>
    <row r="673" ht="15.75" customHeight="1">
      <c r="I673" s="57"/>
      <c r="J673" s="57"/>
      <c r="K673" s="57"/>
    </row>
    <row r="674" ht="15.75" customHeight="1">
      <c r="I674" s="57"/>
      <c r="J674" s="57"/>
      <c r="K674" s="57"/>
    </row>
    <row r="675" ht="15.75" customHeight="1">
      <c r="I675" s="57"/>
      <c r="J675" s="57"/>
      <c r="K675" s="57"/>
    </row>
    <row r="676" ht="15.75" customHeight="1">
      <c r="I676" s="57"/>
      <c r="J676" s="57"/>
      <c r="K676" s="57"/>
    </row>
    <row r="677" ht="15.75" customHeight="1">
      <c r="I677" s="57"/>
      <c r="J677" s="57"/>
      <c r="K677" s="57"/>
    </row>
    <row r="678" ht="15.75" customHeight="1">
      <c r="I678" s="57"/>
      <c r="J678" s="57"/>
      <c r="K678" s="57"/>
    </row>
    <row r="679" ht="15.75" customHeight="1">
      <c r="I679" s="57"/>
      <c r="J679" s="57"/>
      <c r="K679" s="57"/>
    </row>
    <row r="680" ht="15.75" customHeight="1">
      <c r="I680" s="57"/>
      <c r="J680" s="57"/>
      <c r="K680" s="57"/>
    </row>
    <row r="681" ht="15.75" customHeight="1">
      <c r="I681" s="57"/>
      <c r="J681" s="57"/>
      <c r="K681" s="57"/>
    </row>
    <row r="682" ht="15.75" customHeight="1">
      <c r="I682" s="57"/>
      <c r="J682" s="57"/>
      <c r="K682" s="57"/>
    </row>
    <row r="683" ht="15.75" customHeight="1">
      <c r="I683" s="57"/>
      <c r="J683" s="57"/>
      <c r="K683" s="57"/>
    </row>
    <row r="684" ht="15.75" customHeight="1">
      <c r="I684" s="57"/>
      <c r="J684" s="57"/>
      <c r="K684" s="57"/>
    </row>
    <row r="685" ht="15.75" customHeight="1">
      <c r="I685" s="57"/>
      <c r="J685" s="57"/>
      <c r="K685" s="57"/>
    </row>
    <row r="686" ht="15.75" customHeight="1">
      <c r="I686" s="57"/>
      <c r="J686" s="57"/>
      <c r="K686" s="57"/>
    </row>
    <row r="687" ht="15.75" customHeight="1">
      <c r="I687" s="57"/>
      <c r="J687" s="57"/>
      <c r="K687" s="57"/>
    </row>
    <row r="688" ht="15.75" customHeight="1">
      <c r="I688" s="57"/>
      <c r="J688" s="57"/>
      <c r="K688" s="57"/>
    </row>
    <row r="689" ht="15.75" customHeight="1">
      <c r="I689" s="57"/>
      <c r="J689" s="57"/>
      <c r="K689" s="57"/>
    </row>
    <row r="690" ht="15.75" customHeight="1">
      <c r="I690" s="57"/>
      <c r="J690" s="57"/>
      <c r="K690" s="57"/>
    </row>
    <row r="691" ht="15.75" customHeight="1">
      <c r="I691" s="57"/>
      <c r="J691" s="57"/>
      <c r="K691" s="57"/>
    </row>
    <row r="692" ht="15.75" customHeight="1">
      <c r="I692" s="57"/>
      <c r="J692" s="57"/>
      <c r="K692" s="57"/>
    </row>
    <row r="693" ht="15.75" customHeight="1">
      <c r="I693" s="57"/>
      <c r="J693" s="57"/>
      <c r="K693" s="57"/>
    </row>
    <row r="694" ht="15.75" customHeight="1">
      <c r="I694" s="57"/>
      <c r="J694" s="57"/>
      <c r="K694" s="57"/>
    </row>
    <row r="695" ht="15.75" customHeight="1">
      <c r="I695" s="57"/>
      <c r="J695" s="57"/>
      <c r="K695" s="57"/>
    </row>
    <row r="696" ht="15.75" customHeight="1">
      <c r="I696" s="57"/>
      <c r="J696" s="57"/>
      <c r="K696" s="57"/>
    </row>
    <row r="697" ht="15.75" customHeight="1">
      <c r="I697" s="57"/>
      <c r="J697" s="57"/>
      <c r="K697" s="57"/>
    </row>
    <row r="698" ht="15.75" customHeight="1">
      <c r="I698" s="57"/>
      <c r="J698" s="57"/>
      <c r="K698" s="57"/>
    </row>
    <row r="699" ht="15.75" customHeight="1">
      <c r="I699" s="57"/>
      <c r="J699" s="57"/>
      <c r="K699" s="57"/>
    </row>
    <row r="700" ht="15.75" customHeight="1">
      <c r="I700" s="57"/>
      <c r="J700" s="57"/>
      <c r="K700" s="57"/>
    </row>
    <row r="701" ht="15.75" customHeight="1">
      <c r="I701" s="57"/>
      <c r="J701" s="57"/>
      <c r="K701" s="57"/>
    </row>
    <row r="702" ht="15.75" customHeight="1">
      <c r="I702" s="57"/>
      <c r="J702" s="57"/>
      <c r="K702" s="57"/>
    </row>
    <row r="703" ht="15.75" customHeight="1">
      <c r="I703" s="57"/>
      <c r="J703" s="57"/>
      <c r="K703" s="57"/>
    </row>
    <row r="704" ht="15.75" customHeight="1">
      <c r="I704" s="57"/>
      <c r="J704" s="57"/>
      <c r="K704" s="57"/>
    </row>
    <row r="705" ht="15.75" customHeight="1">
      <c r="I705" s="57"/>
      <c r="J705" s="57"/>
      <c r="K705" s="57"/>
    </row>
    <row r="706" ht="15.75" customHeight="1">
      <c r="I706" s="57"/>
      <c r="J706" s="57"/>
      <c r="K706" s="57"/>
    </row>
    <row r="707" ht="15.75" customHeight="1">
      <c r="I707" s="57"/>
      <c r="J707" s="57"/>
      <c r="K707" s="57"/>
    </row>
    <row r="708" ht="15.75" customHeight="1">
      <c r="I708" s="57"/>
      <c r="J708" s="57"/>
      <c r="K708" s="57"/>
    </row>
    <row r="709" ht="15.75" customHeight="1">
      <c r="I709" s="57"/>
      <c r="J709" s="57"/>
      <c r="K709" s="57"/>
    </row>
    <row r="710" ht="15.75" customHeight="1">
      <c r="I710" s="57"/>
      <c r="J710" s="57"/>
      <c r="K710" s="57"/>
    </row>
    <row r="711" ht="15.75" customHeight="1">
      <c r="I711" s="57"/>
      <c r="J711" s="57"/>
      <c r="K711" s="57"/>
    </row>
    <row r="712" ht="15.75" customHeight="1">
      <c r="I712" s="57"/>
      <c r="J712" s="57"/>
      <c r="K712" s="57"/>
    </row>
    <row r="713" ht="15.75" customHeight="1">
      <c r="I713" s="57"/>
      <c r="J713" s="57"/>
      <c r="K713" s="57"/>
    </row>
    <row r="714" ht="15.75" customHeight="1">
      <c r="I714" s="57"/>
      <c r="J714" s="57"/>
      <c r="K714" s="57"/>
    </row>
    <row r="715" ht="15.75" customHeight="1">
      <c r="I715" s="57"/>
      <c r="J715" s="57"/>
      <c r="K715" s="57"/>
    </row>
    <row r="716" ht="15.75" customHeight="1">
      <c r="I716" s="57"/>
      <c r="J716" s="57"/>
      <c r="K716" s="57"/>
    </row>
    <row r="717" ht="15.75" customHeight="1">
      <c r="I717" s="57"/>
      <c r="J717" s="57"/>
      <c r="K717" s="57"/>
    </row>
    <row r="718" ht="15.75" customHeight="1">
      <c r="I718" s="57"/>
      <c r="J718" s="57"/>
      <c r="K718" s="57"/>
    </row>
    <row r="719" ht="15.75" customHeight="1">
      <c r="I719" s="57"/>
      <c r="J719" s="57"/>
      <c r="K719" s="57"/>
    </row>
    <row r="720" ht="15.75" customHeight="1">
      <c r="I720" s="57"/>
      <c r="J720" s="57"/>
      <c r="K720" s="57"/>
    </row>
    <row r="721" ht="15.75" customHeight="1">
      <c r="I721" s="57"/>
      <c r="J721" s="57"/>
      <c r="K721" s="57"/>
    </row>
    <row r="722" ht="15.75" customHeight="1">
      <c r="I722" s="57"/>
      <c r="J722" s="57"/>
      <c r="K722" s="57"/>
    </row>
    <row r="723" ht="15.75" customHeight="1">
      <c r="I723" s="57"/>
      <c r="J723" s="57"/>
      <c r="K723" s="57"/>
    </row>
    <row r="724" ht="15.75" customHeight="1">
      <c r="I724" s="57"/>
      <c r="J724" s="57"/>
      <c r="K724" s="57"/>
    </row>
    <row r="725" ht="15.75" customHeight="1">
      <c r="I725" s="57"/>
      <c r="J725" s="57"/>
      <c r="K725" s="57"/>
    </row>
    <row r="726" ht="15.75" customHeight="1">
      <c r="I726" s="57"/>
      <c r="J726" s="57"/>
      <c r="K726" s="57"/>
    </row>
    <row r="727" ht="15.75" customHeight="1">
      <c r="I727" s="57"/>
      <c r="J727" s="57"/>
      <c r="K727" s="57"/>
    </row>
    <row r="728" ht="15.75" customHeight="1">
      <c r="I728" s="57"/>
      <c r="J728" s="57"/>
      <c r="K728" s="57"/>
    </row>
    <row r="729" ht="15.75" customHeight="1">
      <c r="I729" s="57"/>
      <c r="J729" s="57"/>
      <c r="K729" s="57"/>
    </row>
    <row r="730" ht="15.75" customHeight="1">
      <c r="I730" s="57"/>
      <c r="J730" s="57"/>
      <c r="K730" s="57"/>
    </row>
    <row r="731" ht="15.75" customHeight="1">
      <c r="I731" s="57"/>
      <c r="J731" s="57"/>
      <c r="K731" s="57"/>
    </row>
    <row r="732" ht="15.75" customHeight="1">
      <c r="I732" s="57"/>
      <c r="J732" s="57"/>
      <c r="K732" s="57"/>
    </row>
    <row r="733" ht="15.75" customHeight="1">
      <c r="I733" s="57"/>
      <c r="J733" s="57"/>
      <c r="K733" s="57"/>
    </row>
    <row r="734" ht="15.75" customHeight="1">
      <c r="I734" s="57"/>
      <c r="J734" s="57"/>
      <c r="K734" s="57"/>
    </row>
    <row r="735" ht="15.75" customHeight="1">
      <c r="I735" s="57"/>
      <c r="J735" s="57"/>
      <c r="K735" s="57"/>
    </row>
    <row r="736" ht="15.75" customHeight="1">
      <c r="I736" s="57"/>
      <c r="J736" s="57"/>
      <c r="K736" s="57"/>
    </row>
    <row r="737" ht="15.75" customHeight="1">
      <c r="I737" s="57"/>
      <c r="J737" s="57"/>
      <c r="K737" s="57"/>
    </row>
    <row r="738" ht="15.75" customHeight="1">
      <c r="I738" s="57"/>
      <c r="J738" s="57"/>
      <c r="K738" s="57"/>
    </row>
    <row r="739" ht="15.75" customHeight="1">
      <c r="I739" s="57"/>
      <c r="J739" s="57"/>
      <c r="K739" s="57"/>
    </row>
    <row r="740" ht="15.75" customHeight="1">
      <c r="I740" s="57"/>
      <c r="J740" s="57"/>
      <c r="K740" s="57"/>
    </row>
    <row r="741" ht="15.75" customHeight="1">
      <c r="I741" s="57"/>
      <c r="J741" s="57"/>
      <c r="K741" s="57"/>
    </row>
    <row r="742" ht="15.75" customHeight="1">
      <c r="I742" s="57"/>
      <c r="J742" s="57"/>
      <c r="K742" s="57"/>
    </row>
    <row r="743" ht="15.75" customHeight="1">
      <c r="I743" s="57"/>
      <c r="J743" s="57"/>
      <c r="K743" s="57"/>
    </row>
    <row r="744" ht="15.75" customHeight="1">
      <c r="I744" s="57"/>
      <c r="J744" s="57"/>
      <c r="K744" s="57"/>
    </row>
    <row r="745" ht="15.75" customHeight="1">
      <c r="I745" s="57"/>
      <c r="J745" s="57"/>
      <c r="K745" s="57"/>
    </row>
    <row r="746" ht="15.75" customHeight="1">
      <c r="I746" s="57"/>
      <c r="J746" s="57"/>
      <c r="K746" s="57"/>
    </row>
    <row r="747" ht="15.75" customHeight="1">
      <c r="I747" s="57"/>
      <c r="J747" s="57"/>
      <c r="K747" s="57"/>
    </row>
    <row r="748" ht="15.75" customHeight="1">
      <c r="I748" s="57"/>
      <c r="J748" s="57"/>
      <c r="K748" s="57"/>
    </row>
    <row r="749" ht="15.75" customHeight="1">
      <c r="I749" s="57"/>
      <c r="J749" s="57"/>
      <c r="K749" s="57"/>
    </row>
    <row r="750" ht="15.75" customHeight="1">
      <c r="I750" s="57"/>
      <c r="J750" s="57"/>
      <c r="K750" s="57"/>
    </row>
    <row r="751" ht="15.75" customHeight="1">
      <c r="I751" s="57"/>
      <c r="J751" s="57"/>
      <c r="K751" s="57"/>
    </row>
    <row r="752" ht="15.75" customHeight="1">
      <c r="I752" s="57"/>
      <c r="J752" s="57"/>
      <c r="K752" s="57"/>
    </row>
    <row r="753" ht="15.75" customHeight="1">
      <c r="I753" s="57"/>
      <c r="J753" s="57"/>
      <c r="K753" s="57"/>
    </row>
    <row r="754" ht="15.75" customHeight="1">
      <c r="I754" s="57"/>
      <c r="J754" s="57"/>
      <c r="K754" s="57"/>
    </row>
    <row r="755" ht="15.75" customHeight="1">
      <c r="I755" s="57"/>
      <c r="J755" s="57"/>
      <c r="K755" s="57"/>
    </row>
    <row r="756" ht="15.75" customHeight="1">
      <c r="I756" s="57"/>
      <c r="J756" s="57"/>
      <c r="K756" s="57"/>
    </row>
    <row r="757" ht="15.75" customHeight="1">
      <c r="I757" s="57"/>
      <c r="J757" s="57"/>
      <c r="K757" s="57"/>
    </row>
    <row r="758" ht="15.75" customHeight="1">
      <c r="I758" s="57"/>
      <c r="J758" s="57"/>
      <c r="K758" s="57"/>
    </row>
    <row r="759" ht="15.75" customHeight="1">
      <c r="I759" s="57"/>
      <c r="J759" s="57"/>
      <c r="K759" s="57"/>
    </row>
    <row r="760" ht="15.75" customHeight="1">
      <c r="I760" s="57"/>
      <c r="J760" s="57"/>
      <c r="K760" s="57"/>
    </row>
    <row r="761" ht="15.75" customHeight="1">
      <c r="I761" s="57"/>
      <c r="J761" s="57"/>
      <c r="K761" s="57"/>
    </row>
    <row r="762" ht="15.75" customHeight="1">
      <c r="I762" s="57"/>
      <c r="J762" s="57"/>
      <c r="K762" s="57"/>
    </row>
    <row r="763" ht="15.75" customHeight="1">
      <c r="I763" s="57"/>
      <c r="J763" s="57"/>
      <c r="K763" s="57"/>
    </row>
    <row r="764" ht="15.75" customHeight="1">
      <c r="I764" s="57"/>
      <c r="J764" s="57"/>
      <c r="K764" s="57"/>
    </row>
    <row r="765" ht="15.75" customHeight="1">
      <c r="I765" s="57"/>
      <c r="J765" s="57"/>
      <c r="K765" s="57"/>
    </row>
    <row r="766" ht="15.75" customHeight="1">
      <c r="I766" s="57"/>
      <c r="J766" s="57"/>
      <c r="K766" s="57"/>
    </row>
    <row r="767" ht="15.75" customHeight="1">
      <c r="I767" s="57"/>
      <c r="J767" s="57"/>
      <c r="K767" s="57"/>
    </row>
    <row r="768" ht="15.75" customHeight="1">
      <c r="I768" s="57"/>
      <c r="J768" s="57"/>
      <c r="K768" s="57"/>
    </row>
    <row r="769" ht="15.75" customHeight="1">
      <c r="I769" s="57"/>
      <c r="J769" s="57"/>
      <c r="K769" s="57"/>
    </row>
    <row r="770" ht="15.75" customHeight="1">
      <c r="I770" s="57"/>
      <c r="J770" s="57"/>
      <c r="K770" s="57"/>
    </row>
    <row r="771" ht="15.75" customHeight="1">
      <c r="I771" s="57"/>
      <c r="J771" s="57"/>
      <c r="K771" s="57"/>
    </row>
    <row r="772" ht="15.75" customHeight="1">
      <c r="I772" s="57"/>
      <c r="J772" s="57"/>
      <c r="K772" s="57"/>
    </row>
    <row r="773" ht="15.75" customHeight="1">
      <c r="I773" s="57"/>
      <c r="J773" s="57"/>
      <c r="K773" s="57"/>
    </row>
    <row r="774" ht="15.75" customHeight="1">
      <c r="I774" s="57"/>
      <c r="J774" s="57"/>
      <c r="K774" s="57"/>
    </row>
    <row r="775" ht="15.75" customHeight="1">
      <c r="I775" s="57"/>
      <c r="J775" s="57"/>
      <c r="K775" s="57"/>
    </row>
    <row r="776" ht="15.75" customHeight="1">
      <c r="I776" s="57"/>
      <c r="J776" s="57"/>
      <c r="K776" s="57"/>
    </row>
    <row r="777" ht="15.75" customHeight="1">
      <c r="I777" s="57"/>
      <c r="J777" s="57"/>
      <c r="K777" s="57"/>
    </row>
    <row r="778" ht="15.75" customHeight="1">
      <c r="I778" s="57"/>
      <c r="J778" s="57"/>
      <c r="K778" s="57"/>
    </row>
    <row r="779" ht="15.75" customHeight="1">
      <c r="I779" s="57"/>
      <c r="J779" s="57"/>
      <c r="K779" s="57"/>
    </row>
    <row r="780" ht="15.75" customHeight="1">
      <c r="I780" s="57"/>
      <c r="J780" s="57"/>
      <c r="K780" s="57"/>
    </row>
    <row r="781" ht="15.75" customHeight="1">
      <c r="I781" s="57"/>
      <c r="J781" s="57"/>
      <c r="K781" s="57"/>
    </row>
    <row r="782" ht="15.75" customHeight="1">
      <c r="I782" s="57"/>
      <c r="J782" s="57"/>
      <c r="K782" s="57"/>
    </row>
    <row r="783" ht="15.75" customHeight="1">
      <c r="I783" s="57"/>
      <c r="J783" s="57"/>
      <c r="K783" s="57"/>
    </row>
    <row r="784" ht="15.75" customHeight="1">
      <c r="I784" s="57"/>
      <c r="J784" s="57"/>
      <c r="K784" s="57"/>
    </row>
    <row r="785" ht="15.75" customHeight="1">
      <c r="I785" s="57"/>
      <c r="J785" s="57"/>
      <c r="K785" s="57"/>
    </row>
    <row r="786" ht="15.75" customHeight="1">
      <c r="I786" s="57"/>
      <c r="J786" s="57"/>
      <c r="K786" s="57"/>
    </row>
    <row r="787" ht="15.75" customHeight="1">
      <c r="I787" s="57"/>
      <c r="J787" s="57"/>
      <c r="K787" s="57"/>
    </row>
    <row r="788" ht="15.75" customHeight="1">
      <c r="I788" s="57"/>
      <c r="J788" s="57"/>
      <c r="K788" s="57"/>
    </row>
    <row r="789" ht="15.75" customHeight="1">
      <c r="I789" s="57"/>
      <c r="J789" s="57"/>
      <c r="K789" s="57"/>
    </row>
    <row r="790" ht="15.75" customHeight="1">
      <c r="I790" s="57"/>
      <c r="J790" s="57"/>
      <c r="K790" s="57"/>
    </row>
    <row r="791" ht="15.75" customHeight="1">
      <c r="I791" s="57"/>
      <c r="J791" s="57"/>
      <c r="K791" s="57"/>
    </row>
    <row r="792" ht="15.75" customHeight="1">
      <c r="I792" s="57"/>
      <c r="J792" s="57"/>
      <c r="K792" s="57"/>
    </row>
    <row r="793" ht="15.75" customHeight="1">
      <c r="I793" s="57"/>
      <c r="J793" s="57"/>
      <c r="K793" s="57"/>
    </row>
    <row r="794" ht="15.75" customHeight="1">
      <c r="I794" s="57"/>
      <c r="J794" s="57"/>
      <c r="K794" s="57"/>
    </row>
    <row r="795" ht="15.75" customHeight="1">
      <c r="I795" s="57"/>
      <c r="J795" s="57"/>
      <c r="K795" s="57"/>
    </row>
    <row r="796" ht="15.75" customHeight="1">
      <c r="I796" s="57"/>
      <c r="J796" s="57"/>
      <c r="K796" s="57"/>
    </row>
    <row r="797" ht="15.75" customHeight="1">
      <c r="I797" s="57"/>
      <c r="J797" s="57"/>
      <c r="K797" s="57"/>
    </row>
    <row r="798" ht="15.75" customHeight="1">
      <c r="I798" s="57"/>
      <c r="J798" s="57"/>
      <c r="K798" s="57"/>
    </row>
    <row r="799" ht="15.75" customHeight="1">
      <c r="I799" s="57"/>
      <c r="J799" s="57"/>
      <c r="K799" s="57"/>
    </row>
    <row r="800" ht="15.75" customHeight="1">
      <c r="I800" s="57"/>
      <c r="J800" s="57"/>
      <c r="K800" s="57"/>
    </row>
    <row r="801" ht="15.75" customHeight="1">
      <c r="I801" s="57"/>
      <c r="J801" s="57"/>
      <c r="K801" s="57"/>
    </row>
    <row r="802" ht="15.75" customHeight="1">
      <c r="I802" s="57"/>
      <c r="J802" s="57"/>
      <c r="K802" s="57"/>
    </row>
    <row r="803" ht="15.75" customHeight="1">
      <c r="I803" s="57"/>
      <c r="J803" s="57"/>
      <c r="K803" s="57"/>
    </row>
    <row r="804" ht="15.75" customHeight="1">
      <c r="I804" s="57"/>
      <c r="J804" s="57"/>
      <c r="K804" s="57"/>
    </row>
    <row r="805" ht="15.75" customHeight="1">
      <c r="I805" s="57"/>
      <c r="J805" s="57"/>
      <c r="K805" s="57"/>
    </row>
    <row r="806" ht="15.75" customHeight="1">
      <c r="I806" s="57"/>
      <c r="J806" s="57"/>
      <c r="K806" s="57"/>
    </row>
    <row r="807" ht="15.75" customHeight="1">
      <c r="I807" s="57"/>
      <c r="J807" s="57"/>
      <c r="K807" s="57"/>
    </row>
    <row r="808" ht="15.75" customHeight="1">
      <c r="I808" s="57"/>
      <c r="J808" s="57"/>
      <c r="K808" s="57"/>
    </row>
    <row r="809" ht="15.75" customHeight="1">
      <c r="I809" s="57"/>
      <c r="J809" s="57"/>
      <c r="K809" s="57"/>
    </row>
    <row r="810" ht="15.75" customHeight="1">
      <c r="I810" s="57"/>
      <c r="J810" s="57"/>
      <c r="K810" s="57"/>
    </row>
    <row r="811" ht="15.75" customHeight="1">
      <c r="I811" s="57"/>
      <c r="J811" s="57"/>
      <c r="K811" s="57"/>
    </row>
    <row r="812" ht="15.75" customHeight="1">
      <c r="I812" s="57"/>
      <c r="J812" s="57"/>
      <c r="K812" s="57"/>
    </row>
    <row r="813" ht="15.75" customHeight="1">
      <c r="I813" s="57"/>
      <c r="J813" s="57"/>
      <c r="K813" s="57"/>
    </row>
    <row r="814" ht="15.75" customHeight="1">
      <c r="I814" s="57"/>
      <c r="J814" s="57"/>
      <c r="K814" s="57"/>
    </row>
    <row r="815" ht="15.75" customHeight="1">
      <c r="I815" s="57"/>
      <c r="J815" s="57"/>
      <c r="K815" s="57"/>
    </row>
    <row r="816" ht="15.75" customHeight="1">
      <c r="I816" s="57"/>
      <c r="J816" s="57"/>
      <c r="K816" s="57"/>
    </row>
    <row r="817" ht="15.75" customHeight="1">
      <c r="I817" s="57"/>
      <c r="J817" s="57"/>
      <c r="K817" s="57"/>
    </row>
    <row r="818" ht="15.75" customHeight="1">
      <c r="I818" s="57"/>
      <c r="J818" s="57"/>
      <c r="K818" s="57"/>
    </row>
    <row r="819" ht="15.75" customHeight="1">
      <c r="I819" s="57"/>
      <c r="J819" s="57"/>
      <c r="K819" s="57"/>
    </row>
    <row r="820" ht="15.75" customHeight="1">
      <c r="I820" s="57"/>
      <c r="J820" s="57"/>
      <c r="K820" s="57"/>
    </row>
    <row r="821" ht="15.75" customHeight="1">
      <c r="I821" s="57"/>
      <c r="J821" s="57"/>
      <c r="K821" s="57"/>
    </row>
    <row r="822" ht="15.75" customHeight="1">
      <c r="I822" s="57"/>
      <c r="J822" s="57"/>
      <c r="K822" s="57"/>
    </row>
    <row r="823" ht="15.75" customHeight="1">
      <c r="I823" s="57"/>
      <c r="J823" s="57"/>
      <c r="K823" s="57"/>
    </row>
    <row r="824" ht="15.75" customHeight="1">
      <c r="I824" s="57"/>
      <c r="J824" s="57"/>
      <c r="K824" s="57"/>
    </row>
    <row r="825" ht="15.75" customHeight="1">
      <c r="I825" s="57"/>
      <c r="J825" s="57"/>
      <c r="K825" s="57"/>
    </row>
    <row r="826" ht="15.75" customHeight="1">
      <c r="I826" s="57"/>
      <c r="J826" s="57"/>
      <c r="K826" s="57"/>
    </row>
    <row r="827" ht="15.75" customHeight="1">
      <c r="I827" s="57"/>
      <c r="J827" s="57"/>
      <c r="K827" s="57"/>
    </row>
    <row r="828" ht="15.75" customHeight="1">
      <c r="I828" s="57"/>
      <c r="J828" s="57"/>
      <c r="K828" s="57"/>
    </row>
    <row r="829" ht="15.75" customHeight="1">
      <c r="I829" s="57"/>
      <c r="J829" s="57"/>
      <c r="K829" s="57"/>
    </row>
    <row r="830" ht="15.75" customHeight="1">
      <c r="I830" s="57"/>
      <c r="J830" s="57"/>
      <c r="K830" s="57"/>
    </row>
    <row r="831" ht="15.75" customHeight="1">
      <c r="I831" s="57"/>
      <c r="J831" s="57"/>
      <c r="K831" s="57"/>
    </row>
    <row r="832" ht="15.75" customHeight="1">
      <c r="I832" s="57"/>
      <c r="J832" s="57"/>
      <c r="K832" s="57"/>
    </row>
    <row r="833" ht="15.75" customHeight="1">
      <c r="I833" s="57"/>
      <c r="J833" s="57"/>
      <c r="K833" s="57"/>
    </row>
    <row r="834" ht="15.75" customHeight="1">
      <c r="I834" s="57"/>
      <c r="J834" s="57"/>
      <c r="K834" s="57"/>
    </row>
    <row r="835" ht="15.75" customHeight="1">
      <c r="I835" s="57"/>
      <c r="J835" s="57"/>
      <c r="K835" s="57"/>
    </row>
    <row r="836" ht="15.75" customHeight="1">
      <c r="I836" s="57"/>
      <c r="J836" s="57"/>
      <c r="K836" s="57"/>
    </row>
    <row r="837" ht="15.75" customHeight="1">
      <c r="I837" s="57"/>
      <c r="J837" s="57"/>
      <c r="K837" s="57"/>
    </row>
    <row r="838" ht="15.75" customHeight="1">
      <c r="I838" s="57"/>
      <c r="J838" s="57"/>
      <c r="K838" s="57"/>
    </row>
    <row r="839" ht="15.75" customHeight="1">
      <c r="I839" s="57"/>
      <c r="J839" s="57"/>
      <c r="K839" s="57"/>
    </row>
    <row r="840" ht="15.75" customHeight="1">
      <c r="I840" s="57"/>
      <c r="J840" s="57"/>
      <c r="K840" s="57"/>
    </row>
    <row r="841" ht="15.75" customHeight="1">
      <c r="I841" s="57"/>
      <c r="J841" s="57"/>
      <c r="K841" s="57"/>
    </row>
    <row r="842" ht="15.75" customHeight="1">
      <c r="I842" s="57"/>
      <c r="J842" s="57"/>
      <c r="K842" s="57"/>
    </row>
    <row r="843" ht="15.75" customHeight="1">
      <c r="I843" s="57"/>
      <c r="J843" s="57"/>
      <c r="K843" s="57"/>
    </row>
    <row r="844" ht="15.75" customHeight="1">
      <c r="I844" s="57"/>
      <c r="J844" s="57"/>
      <c r="K844" s="57"/>
    </row>
    <row r="845" ht="15.75" customHeight="1">
      <c r="I845" s="57"/>
      <c r="J845" s="57"/>
      <c r="K845" s="57"/>
    </row>
    <row r="846" ht="15.75" customHeight="1">
      <c r="I846" s="57"/>
      <c r="J846" s="57"/>
      <c r="K846" s="57"/>
    </row>
    <row r="847" ht="15.75" customHeight="1">
      <c r="I847" s="57"/>
      <c r="J847" s="57"/>
      <c r="K847" s="57"/>
    </row>
    <row r="848" ht="15.75" customHeight="1">
      <c r="I848" s="57"/>
      <c r="J848" s="57"/>
      <c r="K848" s="57"/>
    </row>
    <row r="849" ht="15.75" customHeight="1">
      <c r="I849" s="57"/>
      <c r="J849" s="57"/>
      <c r="K849" s="57"/>
    </row>
    <row r="850" ht="15.75" customHeight="1">
      <c r="I850" s="57"/>
      <c r="J850" s="57"/>
      <c r="K850" s="57"/>
    </row>
    <row r="851" ht="15.75" customHeight="1">
      <c r="I851" s="57"/>
      <c r="J851" s="57"/>
      <c r="K851" s="57"/>
    </row>
    <row r="852" ht="15.75" customHeight="1">
      <c r="I852" s="57"/>
      <c r="J852" s="57"/>
      <c r="K852" s="57"/>
    </row>
    <row r="853" ht="15.75" customHeight="1">
      <c r="I853" s="57"/>
      <c r="J853" s="57"/>
      <c r="K853" s="57"/>
    </row>
    <row r="854" ht="15.75" customHeight="1">
      <c r="I854" s="57"/>
      <c r="J854" s="57"/>
      <c r="K854" s="57"/>
    </row>
    <row r="855" ht="15.75" customHeight="1">
      <c r="I855" s="57"/>
      <c r="J855" s="57"/>
      <c r="K855" s="57"/>
    </row>
    <row r="856" ht="15.75" customHeight="1">
      <c r="I856" s="57"/>
      <c r="J856" s="57"/>
      <c r="K856" s="57"/>
    </row>
    <row r="857" ht="15.75" customHeight="1">
      <c r="I857" s="57"/>
      <c r="J857" s="57"/>
      <c r="K857" s="57"/>
    </row>
    <row r="858" ht="15.75" customHeight="1">
      <c r="I858" s="57"/>
      <c r="J858" s="57"/>
      <c r="K858" s="57"/>
    </row>
    <row r="859" ht="15.75" customHeight="1">
      <c r="I859" s="57"/>
      <c r="J859" s="57"/>
      <c r="K859" s="57"/>
    </row>
    <row r="860" ht="15.75" customHeight="1">
      <c r="I860" s="57"/>
      <c r="J860" s="57"/>
      <c r="K860" s="57"/>
    </row>
    <row r="861" ht="15.75" customHeight="1">
      <c r="I861" s="57"/>
      <c r="J861" s="57"/>
      <c r="K861" s="57"/>
    </row>
    <row r="862" ht="15.75" customHeight="1">
      <c r="I862" s="57"/>
      <c r="J862" s="57"/>
      <c r="K862" s="57"/>
    </row>
    <row r="863" ht="15.75" customHeight="1">
      <c r="I863" s="57"/>
      <c r="J863" s="57"/>
      <c r="K863" s="57"/>
    </row>
    <row r="864" ht="15.75" customHeight="1">
      <c r="I864" s="57"/>
      <c r="J864" s="57"/>
      <c r="K864" s="57"/>
    </row>
    <row r="865" ht="15.75" customHeight="1">
      <c r="I865" s="57"/>
      <c r="J865" s="57"/>
      <c r="K865" s="57"/>
    </row>
    <row r="866" ht="15.75" customHeight="1">
      <c r="I866" s="57"/>
      <c r="J866" s="57"/>
      <c r="K866" s="57"/>
    </row>
    <row r="867" ht="15.75" customHeight="1">
      <c r="I867" s="57"/>
      <c r="J867" s="57"/>
      <c r="K867" s="57"/>
    </row>
    <row r="868" ht="15.75" customHeight="1">
      <c r="I868" s="57"/>
      <c r="J868" s="57"/>
      <c r="K868" s="57"/>
    </row>
    <row r="869" ht="15.75" customHeight="1">
      <c r="I869" s="57"/>
      <c r="J869" s="57"/>
      <c r="K869" s="57"/>
    </row>
    <row r="870" ht="15.75" customHeight="1">
      <c r="I870" s="57"/>
      <c r="J870" s="57"/>
      <c r="K870" s="57"/>
    </row>
    <row r="871" ht="15.75" customHeight="1">
      <c r="I871" s="57"/>
      <c r="J871" s="57"/>
      <c r="K871" s="57"/>
    </row>
    <row r="872" ht="15.75" customHeight="1">
      <c r="I872" s="57"/>
      <c r="J872" s="57"/>
      <c r="K872" s="57"/>
    </row>
    <row r="873" ht="15.75" customHeight="1">
      <c r="I873" s="57"/>
      <c r="J873" s="57"/>
      <c r="K873" s="57"/>
    </row>
    <row r="874" ht="15.75" customHeight="1">
      <c r="I874" s="57"/>
      <c r="J874" s="57"/>
      <c r="K874" s="57"/>
    </row>
    <row r="875" ht="15.75" customHeight="1">
      <c r="I875" s="57"/>
      <c r="J875" s="57"/>
      <c r="K875" s="57"/>
    </row>
    <row r="876" ht="15.75" customHeight="1">
      <c r="I876" s="57"/>
      <c r="J876" s="57"/>
      <c r="K876" s="57"/>
    </row>
    <row r="877" ht="15.75" customHeight="1">
      <c r="I877" s="57"/>
      <c r="J877" s="57"/>
      <c r="K877" s="57"/>
    </row>
    <row r="878" ht="15.75" customHeight="1">
      <c r="I878" s="57"/>
      <c r="J878" s="57"/>
      <c r="K878" s="57"/>
    </row>
    <row r="879" ht="15.75" customHeight="1">
      <c r="I879" s="57"/>
      <c r="J879" s="57"/>
      <c r="K879" s="57"/>
    </row>
    <row r="880" ht="15.75" customHeight="1">
      <c r="I880" s="57"/>
      <c r="J880" s="57"/>
      <c r="K880" s="57"/>
    </row>
    <row r="881" ht="15.75" customHeight="1">
      <c r="I881" s="57"/>
      <c r="J881" s="57"/>
      <c r="K881" s="57"/>
    </row>
    <row r="882" ht="15.75" customHeight="1">
      <c r="I882" s="57"/>
      <c r="J882" s="57"/>
      <c r="K882" s="57"/>
    </row>
    <row r="883" ht="15.75" customHeight="1">
      <c r="I883" s="57"/>
      <c r="J883" s="57"/>
      <c r="K883" s="57"/>
    </row>
    <row r="884" ht="15.75" customHeight="1">
      <c r="I884" s="57"/>
      <c r="J884" s="57"/>
      <c r="K884" s="57"/>
    </row>
    <row r="885" ht="15.75" customHeight="1">
      <c r="I885" s="57"/>
      <c r="J885" s="57"/>
      <c r="K885" s="57"/>
    </row>
    <row r="886" ht="15.75" customHeight="1">
      <c r="I886" s="57"/>
      <c r="J886" s="57"/>
      <c r="K886" s="57"/>
    </row>
    <row r="887" ht="15.75" customHeight="1">
      <c r="I887" s="57"/>
      <c r="J887" s="57"/>
      <c r="K887" s="57"/>
    </row>
    <row r="888" ht="15.75" customHeight="1">
      <c r="I888" s="57"/>
      <c r="J888" s="57"/>
      <c r="K888" s="57"/>
    </row>
    <row r="889" ht="15.75" customHeight="1">
      <c r="I889" s="57"/>
      <c r="J889" s="57"/>
      <c r="K889" s="57"/>
    </row>
    <row r="890" ht="15.75" customHeight="1">
      <c r="I890" s="57"/>
      <c r="J890" s="57"/>
      <c r="K890" s="57"/>
    </row>
    <row r="891" ht="15.75" customHeight="1">
      <c r="I891" s="57"/>
      <c r="J891" s="57"/>
      <c r="K891" s="57"/>
    </row>
    <row r="892" ht="15.75" customHeight="1">
      <c r="I892" s="57"/>
      <c r="J892" s="57"/>
      <c r="K892" s="57"/>
    </row>
    <row r="893" ht="15.75" customHeight="1">
      <c r="I893" s="57"/>
      <c r="J893" s="57"/>
      <c r="K893" s="57"/>
    </row>
    <row r="894" ht="15.75" customHeight="1">
      <c r="I894" s="57"/>
      <c r="J894" s="57"/>
      <c r="K894" s="57"/>
    </row>
    <row r="895" ht="15.75" customHeight="1">
      <c r="I895" s="57"/>
      <c r="J895" s="57"/>
      <c r="K895" s="57"/>
    </row>
    <row r="896" ht="15.75" customHeight="1">
      <c r="I896" s="57"/>
      <c r="J896" s="57"/>
      <c r="K896" s="57"/>
    </row>
    <row r="897" ht="15.75" customHeight="1">
      <c r="I897" s="57"/>
      <c r="J897" s="57"/>
      <c r="K897" s="57"/>
    </row>
    <row r="898" ht="15.75" customHeight="1">
      <c r="I898" s="57"/>
      <c r="J898" s="57"/>
      <c r="K898" s="57"/>
    </row>
    <row r="899" ht="15.75" customHeight="1">
      <c r="I899" s="57"/>
      <c r="J899" s="57"/>
      <c r="K899" s="57"/>
    </row>
    <row r="900" ht="15.75" customHeight="1">
      <c r="I900" s="57"/>
      <c r="J900" s="57"/>
      <c r="K900" s="57"/>
    </row>
    <row r="901" ht="15.75" customHeight="1">
      <c r="I901" s="57"/>
      <c r="J901" s="57"/>
      <c r="K901" s="57"/>
    </row>
    <row r="902" ht="15.75" customHeight="1">
      <c r="I902" s="57"/>
      <c r="J902" s="57"/>
      <c r="K902" s="57"/>
    </row>
    <row r="903" ht="15.75" customHeight="1">
      <c r="I903" s="57"/>
      <c r="J903" s="57"/>
      <c r="K903" s="57"/>
    </row>
    <row r="904" ht="15.75" customHeight="1">
      <c r="I904" s="57"/>
      <c r="J904" s="57"/>
      <c r="K904" s="57"/>
    </row>
    <row r="905" ht="15.75" customHeight="1">
      <c r="I905" s="57"/>
      <c r="J905" s="57"/>
      <c r="K905" s="57"/>
    </row>
    <row r="906" ht="15.75" customHeight="1">
      <c r="I906" s="57"/>
      <c r="J906" s="57"/>
      <c r="K906" s="57"/>
    </row>
    <row r="907" ht="15.75" customHeight="1">
      <c r="I907" s="57"/>
      <c r="J907" s="57"/>
      <c r="K907" s="57"/>
    </row>
    <row r="908" ht="15.75" customHeight="1">
      <c r="I908" s="57"/>
      <c r="J908" s="57"/>
      <c r="K908" s="57"/>
    </row>
    <row r="909" ht="15.75" customHeight="1">
      <c r="I909" s="57"/>
      <c r="J909" s="57"/>
      <c r="K909" s="57"/>
    </row>
    <row r="910" ht="15.75" customHeight="1">
      <c r="I910" s="57"/>
      <c r="J910" s="57"/>
      <c r="K910" s="57"/>
    </row>
    <row r="911" ht="15.75" customHeight="1">
      <c r="I911" s="57"/>
      <c r="J911" s="57"/>
      <c r="K911" s="57"/>
    </row>
    <row r="912" ht="15.75" customHeight="1">
      <c r="I912" s="57"/>
      <c r="J912" s="57"/>
      <c r="K912" s="57"/>
    </row>
    <row r="913" ht="15.75" customHeight="1">
      <c r="I913" s="57"/>
      <c r="J913" s="57"/>
      <c r="K913" s="57"/>
    </row>
    <row r="914" ht="15.75" customHeight="1">
      <c r="I914" s="57"/>
      <c r="J914" s="57"/>
      <c r="K914" s="57"/>
    </row>
    <row r="915" ht="15.75" customHeight="1">
      <c r="I915" s="57"/>
      <c r="J915" s="57"/>
      <c r="K915" s="57"/>
    </row>
    <row r="916" ht="15.75" customHeight="1">
      <c r="I916" s="57"/>
      <c r="J916" s="57"/>
      <c r="K916" s="57"/>
    </row>
    <row r="917" ht="15.75" customHeight="1">
      <c r="I917" s="57"/>
      <c r="J917" s="57"/>
      <c r="K917" s="57"/>
    </row>
    <row r="918" ht="15.75" customHeight="1">
      <c r="I918" s="57"/>
      <c r="J918" s="57"/>
      <c r="K918" s="57"/>
    </row>
    <row r="919" ht="15.75" customHeight="1">
      <c r="I919" s="57"/>
      <c r="J919" s="57"/>
      <c r="K919" s="57"/>
    </row>
    <row r="920" ht="15.75" customHeight="1">
      <c r="I920" s="57"/>
      <c r="J920" s="57"/>
      <c r="K920" s="57"/>
    </row>
    <row r="921" ht="15.75" customHeight="1">
      <c r="I921" s="57"/>
      <c r="J921" s="57"/>
      <c r="K921" s="57"/>
    </row>
    <row r="922" ht="15.75" customHeight="1">
      <c r="I922" s="57"/>
      <c r="J922" s="57"/>
      <c r="K922" s="57"/>
    </row>
    <row r="923" ht="15.75" customHeight="1">
      <c r="I923" s="57"/>
      <c r="J923" s="57"/>
      <c r="K923" s="57"/>
    </row>
    <row r="924" ht="15.75" customHeight="1">
      <c r="I924" s="57"/>
      <c r="J924" s="57"/>
      <c r="K924" s="57"/>
    </row>
    <row r="925" ht="15.75" customHeight="1">
      <c r="I925" s="57"/>
      <c r="J925" s="57"/>
      <c r="K925" s="57"/>
    </row>
    <row r="926" ht="15.75" customHeight="1">
      <c r="I926" s="57"/>
      <c r="J926" s="57"/>
      <c r="K926" s="57"/>
    </row>
    <row r="927" ht="15.75" customHeight="1">
      <c r="I927" s="57"/>
      <c r="J927" s="57"/>
      <c r="K927" s="57"/>
    </row>
    <row r="928" ht="15.75" customHeight="1">
      <c r="I928" s="57"/>
      <c r="J928" s="57"/>
      <c r="K928" s="57"/>
    </row>
    <row r="929" ht="15.75" customHeight="1">
      <c r="I929" s="57"/>
      <c r="J929" s="57"/>
      <c r="K929" s="57"/>
    </row>
    <row r="930" ht="15.75" customHeight="1">
      <c r="I930" s="57"/>
      <c r="J930" s="57"/>
      <c r="K930" s="57"/>
    </row>
    <row r="931" ht="15.75" customHeight="1">
      <c r="I931" s="57"/>
      <c r="J931" s="57"/>
      <c r="K931" s="57"/>
    </row>
    <row r="932" ht="15.75" customHeight="1">
      <c r="I932" s="57"/>
      <c r="J932" s="57"/>
      <c r="K932" s="57"/>
    </row>
    <row r="933" ht="15.75" customHeight="1">
      <c r="I933" s="57"/>
      <c r="J933" s="57"/>
      <c r="K933" s="57"/>
    </row>
    <row r="934" ht="15.75" customHeight="1">
      <c r="I934" s="57"/>
      <c r="J934" s="57"/>
      <c r="K934" s="57"/>
    </row>
    <row r="935" ht="15.75" customHeight="1">
      <c r="I935" s="57"/>
      <c r="J935" s="57"/>
      <c r="K935" s="57"/>
    </row>
    <row r="936" ht="15.75" customHeight="1">
      <c r="I936" s="57"/>
      <c r="J936" s="57"/>
      <c r="K936" s="57"/>
    </row>
    <row r="937" ht="15.75" customHeight="1">
      <c r="I937" s="57"/>
      <c r="J937" s="57"/>
      <c r="K937" s="57"/>
    </row>
    <row r="938" ht="15.75" customHeight="1">
      <c r="I938" s="57"/>
      <c r="J938" s="57"/>
      <c r="K938" s="57"/>
    </row>
    <row r="939" ht="15.75" customHeight="1">
      <c r="I939" s="57"/>
      <c r="J939" s="57"/>
      <c r="K939" s="57"/>
    </row>
    <row r="940" ht="15.75" customHeight="1">
      <c r="I940" s="57"/>
      <c r="J940" s="57"/>
      <c r="K940" s="57"/>
    </row>
    <row r="941" ht="15.75" customHeight="1">
      <c r="I941" s="57"/>
      <c r="J941" s="57"/>
      <c r="K941" s="57"/>
    </row>
    <row r="942" ht="15.75" customHeight="1">
      <c r="I942" s="57"/>
      <c r="J942" s="57"/>
      <c r="K942" s="57"/>
    </row>
    <row r="943" ht="15.75" customHeight="1">
      <c r="I943" s="57"/>
      <c r="J943" s="57"/>
      <c r="K943" s="57"/>
    </row>
    <row r="944" ht="15.75" customHeight="1">
      <c r="I944" s="57"/>
      <c r="J944" s="57"/>
      <c r="K944" s="57"/>
    </row>
    <row r="945" ht="15.75" customHeight="1">
      <c r="I945" s="57"/>
      <c r="J945" s="57"/>
      <c r="K945" s="57"/>
    </row>
    <row r="946" ht="15.75" customHeight="1">
      <c r="I946" s="57"/>
      <c r="J946" s="57"/>
      <c r="K946" s="57"/>
    </row>
    <row r="947" ht="15.75" customHeight="1">
      <c r="I947" s="57"/>
      <c r="J947" s="57"/>
      <c r="K947" s="57"/>
    </row>
    <row r="948" ht="15.75" customHeight="1">
      <c r="I948" s="57"/>
      <c r="J948" s="57"/>
      <c r="K948" s="57"/>
    </row>
    <row r="949" ht="15.75" customHeight="1">
      <c r="I949" s="57"/>
      <c r="J949" s="57"/>
      <c r="K949" s="57"/>
    </row>
    <row r="950" ht="15.75" customHeight="1">
      <c r="I950" s="57"/>
      <c r="J950" s="57"/>
      <c r="K950" s="57"/>
    </row>
    <row r="951" ht="15.75" customHeight="1">
      <c r="I951" s="57"/>
      <c r="J951" s="57"/>
      <c r="K951" s="57"/>
    </row>
    <row r="952" ht="15.75" customHeight="1">
      <c r="I952" s="57"/>
      <c r="J952" s="57"/>
      <c r="K952" s="57"/>
    </row>
    <row r="953" ht="15.75" customHeight="1">
      <c r="I953" s="57"/>
      <c r="J953" s="57"/>
      <c r="K953" s="57"/>
    </row>
    <row r="954" ht="15.75" customHeight="1">
      <c r="I954" s="57"/>
      <c r="J954" s="57"/>
      <c r="K954" s="57"/>
    </row>
    <row r="955" ht="15.75" customHeight="1">
      <c r="I955" s="57"/>
      <c r="J955" s="57"/>
      <c r="K955" s="57"/>
    </row>
    <row r="956" ht="15.75" customHeight="1">
      <c r="I956" s="57"/>
      <c r="J956" s="57"/>
      <c r="K956" s="57"/>
    </row>
    <row r="957" ht="15.75" customHeight="1">
      <c r="I957" s="57"/>
      <c r="J957" s="57"/>
      <c r="K957" s="57"/>
    </row>
    <row r="958" ht="15.75" customHeight="1">
      <c r="I958" s="57"/>
      <c r="J958" s="57"/>
      <c r="K958" s="57"/>
    </row>
    <row r="959" ht="15.75" customHeight="1">
      <c r="I959" s="57"/>
      <c r="J959" s="57"/>
      <c r="K959" s="57"/>
    </row>
    <row r="960" ht="15.75" customHeight="1">
      <c r="I960" s="57"/>
      <c r="J960" s="57"/>
      <c r="K960" s="57"/>
    </row>
    <row r="961" ht="15.75" customHeight="1">
      <c r="I961" s="57"/>
      <c r="J961" s="57"/>
      <c r="K961" s="57"/>
    </row>
    <row r="962" ht="15.75" customHeight="1">
      <c r="I962" s="57"/>
      <c r="J962" s="57"/>
      <c r="K962" s="57"/>
    </row>
    <row r="963" ht="15.75" customHeight="1">
      <c r="I963" s="57"/>
      <c r="J963" s="57"/>
      <c r="K963" s="57"/>
    </row>
    <row r="964" ht="15.75" customHeight="1">
      <c r="I964" s="57"/>
      <c r="J964" s="57"/>
      <c r="K964" s="57"/>
    </row>
    <row r="965" ht="15.75" customHeight="1">
      <c r="I965" s="57"/>
      <c r="J965" s="57"/>
      <c r="K965" s="57"/>
    </row>
    <row r="966" ht="15.75" customHeight="1">
      <c r="I966" s="57"/>
      <c r="J966" s="57"/>
      <c r="K966" s="57"/>
    </row>
    <row r="967" ht="15.75" customHeight="1">
      <c r="I967" s="57"/>
      <c r="J967" s="57"/>
      <c r="K967" s="57"/>
    </row>
    <row r="968" ht="15.75" customHeight="1">
      <c r="I968" s="57"/>
      <c r="J968" s="57"/>
      <c r="K968" s="57"/>
    </row>
    <row r="969" ht="15.75" customHeight="1">
      <c r="I969" s="57"/>
      <c r="J969" s="57"/>
      <c r="K969" s="57"/>
    </row>
    <row r="970" ht="15.75" customHeight="1">
      <c r="I970" s="57"/>
      <c r="J970" s="57"/>
      <c r="K970" s="57"/>
    </row>
    <row r="971" ht="15.75" customHeight="1">
      <c r="I971" s="57"/>
      <c r="J971" s="57"/>
      <c r="K971" s="57"/>
    </row>
    <row r="972" ht="15.75" customHeight="1">
      <c r="I972" s="57"/>
      <c r="J972" s="57"/>
      <c r="K972" s="57"/>
    </row>
    <row r="973" ht="15.75" customHeight="1">
      <c r="I973" s="57"/>
      <c r="J973" s="57"/>
      <c r="K973" s="57"/>
    </row>
    <row r="974" ht="15.75" customHeight="1">
      <c r="I974" s="57"/>
      <c r="J974" s="57"/>
      <c r="K974" s="57"/>
    </row>
    <row r="975" ht="15.75" customHeight="1">
      <c r="I975" s="57"/>
      <c r="J975" s="57"/>
      <c r="K975" s="57"/>
    </row>
    <row r="976" ht="15.75" customHeight="1">
      <c r="I976" s="57"/>
      <c r="J976" s="57"/>
      <c r="K976" s="57"/>
    </row>
    <row r="977" ht="15.75" customHeight="1">
      <c r="I977" s="57"/>
      <c r="J977" s="57"/>
      <c r="K977" s="57"/>
    </row>
    <row r="978" ht="15.75" customHeight="1">
      <c r="I978" s="57"/>
      <c r="J978" s="57"/>
      <c r="K978" s="57"/>
    </row>
    <row r="979" ht="15.75" customHeight="1">
      <c r="I979" s="57"/>
      <c r="J979" s="57"/>
      <c r="K979" s="57"/>
    </row>
    <row r="980" ht="15.75" customHeight="1">
      <c r="I980" s="57"/>
      <c r="J980" s="57"/>
      <c r="K980" s="57"/>
    </row>
    <row r="981" ht="15.75" customHeight="1">
      <c r="I981" s="57"/>
      <c r="J981" s="57"/>
      <c r="K981" s="57"/>
    </row>
    <row r="982" ht="15.75" customHeight="1">
      <c r="I982" s="57"/>
      <c r="J982" s="57"/>
      <c r="K982" s="57"/>
    </row>
    <row r="983" ht="15.75" customHeight="1">
      <c r="I983" s="57"/>
      <c r="J983" s="57"/>
      <c r="K983" s="57"/>
    </row>
    <row r="984" ht="15.75" customHeight="1">
      <c r="I984" s="57"/>
      <c r="J984" s="57"/>
      <c r="K984" s="57"/>
    </row>
    <row r="985" ht="15.75" customHeight="1">
      <c r="I985" s="57"/>
      <c r="J985" s="57"/>
      <c r="K985" s="57"/>
    </row>
    <row r="986" ht="15.75" customHeight="1">
      <c r="I986" s="57"/>
      <c r="J986" s="57"/>
      <c r="K986" s="57"/>
    </row>
    <row r="987" ht="15.75" customHeight="1">
      <c r="I987" s="57"/>
      <c r="J987" s="57"/>
      <c r="K987" s="57"/>
    </row>
    <row r="988" ht="15.75" customHeight="1">
      <c r="I988" s="57"/>
      <c r="J988" s="57"/>
      <c r="K988" s="57"/>
    </row>
    <row r="989" ht="15.75" customHeight="1">
      <c r="I989" s="57"/>
      <c r="J989" s="57"/>
      <c r="K989" s="57"/>
    </row>
    <row r="990" ht="15.75" customHeight="1">
      <c r="I990" s="57"/>
      <c r="J990" s="57"/>
      <c r="K990" s="57"/>
    </row>
    <row r="991" ht="15.75" customHeight="1">
      <c r="I991" s="57"/>
      <c r="J991" s="57"/>
      <c r="K991" s="57"/>
    </row>
    <row r="992" ht="15.75" customHeight="1">
      <c r="I992" s="57"/>
      <c r="J992" s="57"/>
      <c r="K992" s="57"/>
    </row>
    <row r="993" ht="15.75" customHeight="1">
      <c r="I993" s="57"/>
      <c r="J993" s="57"/>
      <c r="K993" s="57"/>
    </row>
    <row r="994" ht="15.75" customHeight="1">
      <c r="I994" s="57"/>
      <c r="J994" s="57"/>
      <c r="K994" s="57"/>
    </row>
  </sheetData>
  <autoFilter ref="$A$1:$O$26"/>
  <conditionalFormatting sqref="A2:O994">
    <cfRule type="expression" dxfId="0" priority="1">
      <formula>$I2="Passou"</formula>
    </cfRule>
  </conditionalFormatting>
  <conditionalFormatting sqref="A2:O994">
    <cfRule type="expression" dxfId="1" priority="2">
      <formula>$I2="Falhou"</formula>
    </cfRule>
  </conditionalFormatting>
  <conditionalFormatting sqref="A2:O994">
    <cfRule type="expression" dxfId="2" priority="3">
      <formula>$I2="Bloqueado"</formula>
    </cfRule>
  </conditionalFormatting>
  <conditionalFormatting sqref="A2:O994">
    <cfRule type="expression" dxfId="3" priority="4">
      <formula>$J2="Crítica"</formula>
    </cfRule>
  </conditionalFormatting>
  <dataValidations>
    <dataValidation type="list" allowBlank="1" sqref="I2:I994">
      <formula1>"Não Iniciado,Passou,Falhou,Bloqueado,Re-teste"</formula1>
    </dataValidation>
    <dataValidation type="list" allowBlank="1" sqref="K2:K994">
      <formula1>"P1-Alta,P2-Média,P3-Baixa"</formula1>
    </dataValidation>
    <dataValidation type="list" allowBlank="1" sqref="J2:J994">
      <formula1>"Crítica,Alta,Média,Baixa"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</hyperlinks>
  <printOptions/>
  <pageMargins bottom="1.0" footer="0.0" header="0.0" left="0.75" right="0.75" top="1.0"/>
  <pageSetup paperSize="9" orientation="portrait"/>
  <drawing r:id="rId2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4.0"/>
    <col customWidth="1" min="8" max="26" width="8.71"/>
  </cols>
  <sheetData>
    <row r="1" ht="42.0" customHeight="1">
      <c r="A1" s="58" t="s">
        <v>209</v>
      </c>
      <c r="B1" s="59"/>
      <c r="C1" s="59"/>
      <c r="D1" s="59"/>
      <c r="E1" s="59"/>
      <c r="F1" s="59"/>
      <c r="G1" s="60"/>
    </row>
    <row r="2" ht="19.5" customHeight="1">
      <c r="A2" s="61" t="s">
        <v>210</v>
      </c>
      <c r="B2" s="59"/>
      <c r="C2" s="59"/>
      <c r="D2" s="59"/>
      <c r="E2" s="59"/>
      <c r="F2" s="59"/>
      <c r="G2" s="60"/>
    </row>
    <row r="4" ht="27.75" customHeight="1">
      <c r="A4" s="62" t="s">
        <v>211</v>
      </c>
      <c r="B4" s="63" t="s">
        <v>212</v>
      </c>
      <c r="C4" s="64" t="s">
        <v>213</v>
      </c>
      <c r="D4" s="65" t="s">
        <v>214</v>
      </c>
      <c r="E4" s="66" t="s">
        <v>215</v>
      </c>
      <c r="F4" s="67" t="s">
        <v>216</v>
      </c>
      <c r="G4" s="68" t="s">
        <v>217</v>
      </c>
    </row>
    <row r="5" ht="42.0" customHeight="1">
      <c r="A5" s="69">
        <f>COUNTA('Casos de Teste'!A2:A994)</f>
        <v>26</v>
      </c>
      <c r="B5" s="70">
        <f>COUNTIF('Casos de Teste'!I2:I994,"Passou")</f>
        <v>24</v>
      </c>
      <c r="C5" s="71">
        <f>COUNTIF('Casos de Teste'!I2:I994,"Falhou")</f>
        <v>2</v>
      </c>
      <c r="D5" s="72">
        <f>COUNTIF('Casos de Teste'!I2:I994,"Bloqueado")</f>
        <v>0</v>
      </c>
      <c r="E5" s="73">
        <f>COUNTIF('Casos de Teste'!I2:I994,"Re-teste")</f>
        <v>0</v>
      </c>
      <c r="F5" s="74">
        <f>COUNTIF('Casos de Teste'!I2:I994,"Não Iniciado")</f>
        <v>0</v>
      </c>
      <c r="G5" s="75">
        <f>IFERROR(COUNTIF('Casos de Teste'!I2:I994,"Passou")/COUNTA('Casos de Teste'!A2:A994),0)</f>
        <v>0.9230769231</v>
      </c>
    </row>
    <row r="7" ht="24.0" customHeight="1">
      <c r="A7" s="76" t="s">
        <v>218</v>
      </c>
      <c r="B7" s="59"/>
      <c r="C7" s="59"/>
      <c r="D7" s="59"/>
      <c r="E7" s="59"/>
      <c r="F7" s="59"/>
      <c r="G7" s="60"/>
    </row>
    <row r="8" ht="24.0" customHeight="1">
      <c r="A8" s="77" t="s">
        <v>219</v>
      </c>
      <c r="B8" s="62" t="s">
        <v>211</v>
      </c>
      <c r="C8" s="63" t="s">
        <v>23</v>
      </c>
      <c r="D8" s="64" t="s">
        <v>152</v>
      </c>
      <c r="E8" s="65" t="s">
        <v>220</v>
      </c>
      <c r="F8" s="67" t="s">
        <v>221</v>
      </c>
      <c r="G8" s="68" t="s">
        <v>222</v>
      </c>
    </row>
    <row r="9" ht="21.75" customHeight="1">
      <c r="A9" s="78" t="s">
        <v>16</v>
      </c>
      <c r="B9" s="79">
        <f>COUNTIF('Casos de Teste'!B2:B994,"SauceDemo – Autenticação")</f>
        <v>6</v>
      </c>
      <c r="C9" s="79">
        <f>COUNTIFS('Casos de Teste'!B2:B994,"SauceDemo – Autenticação",'Casos de Teste'!I2:I994,"Passou")</f>
        <v>6</v>
      </c>
      <c r="D9" s="79">
        <f>COUNTIFS('Casos de Teste'!B2:B994,"SauceDemo – Autenticação",'Casos de Teste'!I2:I994,"Falhou")</f>
        <v>0</v>
      </c>
      <c r="E9" s="79">
        <f>COUNTIFS('Casos de Teste'!B2:B994,"SauceDemo – Autenticação",'Casos de Teste'!I2:I994,"Bloqueado")</f>
        <v>0</v>
      </c>
      <c r="F9" s="79">
        <f>COUNTIFS('Casos de Teste'!B2:B994,"SauceDemo – Autenticação",'Casos de Teste'!I2:I994,"Não Iniciado")</f>
        <v>0</v>
      </c>
      <c r="G9" s="80">
        <f>IFERROR(COUNTIFS('Casos de Teste'!B2:B994,"SauceDemo – Autenticação",'Casos de Teste'!I2:I994,"Passou")/COUNTIF('Casos de Teste'!B2:B994,"SauceDemo – Autenticação"),0)</f>
        <v>1</v>
      </c>
    </row>
    <row r="10" ht="21.75" customHeight="1">
      <c r="A10" s="81" t="s">
        <v>68</v>
      </c>
      <c r="B10" s="82">
        <f>COUNTIF('Casos de Teste'!B2:B994,"SauceDemo – Carrinho &amp; Checkout")</f>
        <v>8</v>
      </c>
      <c r="C10" s="82">
        <f>COUNTIFS('Casos de Teste'!B2:B994,"SauceDemo – Carrinho &amp; Checkout",'Casos de Teste'!I2:I994,"Passou")</f>
        <v>7</v>
      </c>
      <c r="D10" s="82">
        <f>COUNTIFS('Casos de Teste'!B2:B994,"SauceDemo – Carrinho &amp; Checkout",'Casos de Teste'!I2:I994,"Falhou")</f>
        <v>1</v>
      </c>
      <c r="E10" s="82">
        <f>COUNTIFS('Casos de Teste'!B2:B994,"SauceDemo – Carrinho &amp; Checkout",'Casos de Teste'!I2:I994,"Bloqueado")</f>
        <v>0</v>
      </c>
      <c r="F10" s="82">
        <f>COUNTIFS('Casos de Teste'!B2:B994,"SauceDemo – Carrinho &amp; Checkout",'Casos de Teste'!I2:I994,"Não Iniciado")</f>
        <v>0</v>
      </c>
      <c r="G10" s="83">
        <f>IFERROR(COUNTIFS('Casos de Teste'!B2:B994,"SauceDemo – Carrinho &amp; Checkout",'Casos de Teste'!I2:I994,"Passou")/COUNTIF('Casos de Teste'!B2:B994,"SauceDemo – Carrinho &amp; Checkout"),0)</f>
        <v>0.875</v>
      </c>
    </row>
    <row r="11" ht="21.75" customHeight="1">
      <c r="A11" s="84" t="s">
        <v>117</v>
      </c>
      <c r="B11" s="85">
        <f>COUNTIF('Casos de Teste'!B2:B994,"ReqRes – API Usuários")</f>
        <v>8</v>
      </c>
      <c r="C11" s="85">
        <f>COUNTIFS('Casos de Teste'!B2:B994,"ReqRes – API Usuários",'Casos de Teste'!I2:I994,"Passou")</f>
        <v>7</v>
      </c>
      <c r="D11" s="85">
        <f>COUNTIFS('Casos de Teste'!B2:B994,"ReqRes – API Usuários",'Casos de Teste'!I2:I994,"Falhou")</f>
        <v>1</v>
      </c>
      <c r="E11" s="85">
        <f>COUNTIFS('Casos de Teste'!B2:B994,"ReqRes – API Usuários",'Casos de Teste'!I2:I994,"Bloqueado")</f>
        <v>0</v>
      </c>
      <c r="F11" s="85">
        <f>COUNTIFS('Casos de Teste'!B2:B994,"ReqRes – API Usuários",'Casos de Teste'!I2:I994,"Não Iniciado")</f>
        <v>0</v>
      </c>
      <c r="G11" s="86">
        <f>IFERROR(COUNTIFS('Casos de Teste'!B2:B994,"ReqRes – API Usuários",'Casos de Teste'!I2:I994,"Passou")/COUNTIF('Casos de Teste'!B2:B994,"ReqRes – API Usuários"),0)</f>
        <v>0.875</v>
      </c>
    </row>
    <row r="12" ht="21.75" customHeight="1">
      <c r="A12" s="87" t="s">
        <v>175</v>
      </c>
      <c r="B12" s="88">
        <f>COUNTIF('Casos de Teste'!B2:B994,"ReqRes – API Autenticação")</f>
        <v>4</v>
      </c>
      <c r="C12" s="88">
        <f>COUNTIFS('Casos de Teste'!B2:B994,"ReqRes – API Autenticação",'Casos de Teste'!I2:I994,"Passou")</f>
        <v>4</v>
      </c>
      <c r="D12" s="88">
        <f>COUNTIFS('Casos de Teste'!B2:B994,"ReqRes – API Autenticação",'Casos de Teste'!I2:I994,"Falhou")</f>
        <v>0</v>
      </c>
      <c r="E12" s="88">
        <f>COUNTIFS('Casos de Teste'!B2:B994,"ReqRes – API Autenticação",'Casos de Teste'!I2:I994,"Bloqueado")</f>
        <v>0</v>
      </c>
      <c r="F12" s="88">
        <f>COUNTIFS('Casos de Teste'!B2:B994,"ReqRes – API Autenticação",'Casos de Teste'!I2:I994,"Não Iniciado")</f>
        <v>0</v>
      </c>
      <c r="G12" s="89">
        <f>IFERROR(COUNTIFS('Casos de Teste'!B2:B994,"ReqRes – API Autenticação",'Casos de Teste'!I2:I994,"Passou")/COUNTIF('Casos de Teste'!B2:B994,"ReqRes – API Autenticação"),0)</f>
        <v>1</v>
      </c>
    </row>
    <row r="14" ht="24.0" customHeight="1">
      <c r="A14" s="76" t="s">
        <v>223</v>
      </c>
      <c r="B14" s="59"/>
      <c r="C14" s="59"/>
      <c r="D14" s="59"/>
      <c r="E14" s="59"/>
      <c r="F14" s="59"/>
      <c r="G14" s="60"/>
    </row>
    <row r="15">
      <c r="A15" s="77" t="s">
        <v>9</v>
      </c>
      <c r="B15" s="62" t="s">
        <v>211</v>
      </c>
      <c r="C15" s="63" t="s">
        <v>23</v>
      </c>
      <c r="D15" s="64" t="s">
        <v>152</v>
      </c>
      <c r="E15" s="65" t="s">
        <v>220</v>
      </c>
      <c r="F15" s="67" t="s">
        <v>221</v>
      </c>
      <c r="G15" s="68" t="s">
        <v>222</v>
      </c>
    </row>
    <row r="16" ht="21.75" customHeight="1">
      <c r="A16" s="90" t="s">
        <v>88</v>
      </c>
      <c r="B16" s="91">
        <f>COUNTIF('Casos de Teste'!J2:J994,"Crítica")</f>
        <v>5</v>
      </c>
      <c r="C16" s="91">
        <f>COUNTIFS('Casos de Teste'!J2:J994,"Crítica",'Casos de Teste'!I2:I994,"Passou")</f>
        <v>5</v>
      </c>
      <c r="D16" s="91">
        <f>COUNTIFS('Casos de Teste'!J2:J994,"Crítica",'Casos de Teste'!I2:I994,"Falhou")</f>
        <v>0</v>
      </c>
      <c r="E16" s="91">
        <f>COUNTIFS('Casos de Teste'!J2:J994,"Crítica",'Casos de Teste'!I2:I994,"Bloqueado")</f>
        <v>0</v>
      </c>
      <c r="F16" s="91">
        <f>COUNTIFS('Casos de Teste'!J2:J994,"Crítica",'Casos de Teste'!I2:I994,"Não Iniciado")</f>
        <v>0</v>
      </c>
      <c r="G16" s="92">
        <f>IFERROR(COUNTIFS('Casos de Teste'!J2:J994,"Crítica",'Casos de Teste'!I2:I994,"Passou")/COUNTIF('Casos de Teste'!J2:J994,"Crítica"),0)</f>
        <v>1</v>
      </c>
    </row>
    <row r="17" ht="21.75" customHeight="1">
      <c r="A17" s="93" t="s">
        <v>24</v>
      </c>
      <c r="B17" s="94">
        <f>COUNTIF('Casos de Teste'!J2:J994,"Alta")</f>
        <v>15</v>
      </c>
      <c r="C17" s="94">
        <f>COUNTIFS('Casos de Teste'!J2:J994,"Alta",'Casos de Teste'!I2:I994,"Passou")</f>
        <v>14</v>
      </c>
      <c r="D17" s="94">
        <f>COUNTIFS('Casos de Teste'!J2:J994,"Alta",'Casos de Teste'!I2:I994,"Falhou")</f>
        <v>1</v>
      </c>
      <c r="E17" s="94">
        <f>COUNTIFS('Casos de Teste'!J2:J994,"Alta",'Casos de Teste'!I2:I994,"Bloqueado")</f>
        <v>0</v>
      </c>
      <c r="F17" s="94">
        <f>COUNTIFS('Casos de Teste'!J2:J994,"Alta",'Casos de Teste'!I2:I994,"Não Iniciado")</f>
        <v>0</v>
      </c>
      <c r="G17" s="95">
        <f>IFERROR(COUNTIFS('Casos de Teste'!J2:J994,"Alta",'Casos de Teste'!I2:I994,"Passou")/COUNTIF('Casos de Teste'!J2:J994,"Alta"),0)</f>
        <v>0.9333333333</v>
      </c>
    </row>
    <row r="18" ht="21.75" customHeight="1">
      <c r="A18" s="96" t="s">
        <v>49</v>
      </c>
      <c r="B18" s="97">
        <f>COUNTIF('Casos de Teste'!J2:J994,"Média")</f>
        <v>4</v>
      </c>
      <c r="C18" s="97">
        <f>COUNTIFS('Casos de Teste'!J2:J994,"Média",'Casos de Teste'!I2:I994,"Passou")</f>
        <v>4</v>
      </c>
      <c r="D18" s="97">
        <f>COUNTIFS('Casos de Teste'!J2:J994,"Média",'Casos de Teste'!I2:I994,"Falhou")</f>
        <v>0</v>
      </c>
      <c r="E18" s="97">
        <f>COUNTIFS('Casos de Teste'!J2:J994,"Média",'Casos de Teste'!I2:I994,"Bloqueado")</f>
        <v>0</v>
      </c>
      <c r="F18" s="97">
        <f>COUNTIFS('Casos de Teste'!J2:J994,"Média",'Casos de Teste'!I2:I994,"Não Iniciado")</f>
        <v>0</v>
      </c>
      <c r="G18" s="98">
        <f>IFERROR(COUNTIFS('Casos de Teste'!J2:J994,"Média",'Casos de Teste'!I2:I994,"Passou")/COUNTIF('Casos de Teste'!J2:J994,"Média"),0)</f>
        <v>1</v>
      </c>
    </row>
    <row r="19" ht="21.75" customHeight="1">
      <c r="A19" s="99" t="s">
        <v>57</v>
      </c>
      <c r="B19" s="100">
        <f>COUNTIF('Casos de Teste'!J2:J994,"Baixa")</f>
        <v>2</v>
      </c>
      <c r="C19" s="100">
        <f>COUNTIFS('Casos de Teste'!J2:J994,"Baixa",'Casos de Teste'!I2:I994,"Passou")</f>
        <v>1</v>
      </c>
      <c r="D19" s="100">
        <f>COUNTIFS('Casos de Teste'!J2:J994,"Baixa",'Casos de Teste'!I2:I994,"Falhou")</f>
        <v>1</v>
      </c>
      <c r="E19" s="100">
        <f>COUNTIFS('Casos de Teste'!J2:J994,"Baixa",'Casos de Teste'!I2:I994,"Bloqueado")</f>
        <v>0</v>
      </c>
      <c r="F19" s="100">
        <f>COUNTIFS('Casos de Teste'!J2:J994,"Baixa",'Casos de Teste'!I2:I994,"Não Iniciado")</f>
        <v>0</v>
      </c>
      <c r="G19" s="101">
        <f>IFERROR(COUNTIFS('Casos de Teste'!J2:J994,"Baixa",'Casos de Teste'!I2:I994,"Passou")/COUNTIF('Casos de Teste'!J2:J994,"Baixa"),0)</f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G1"/>
    <mergeCell ref="A2:G2"/>
    <mergeCell ref="A7:G7"/>
    <mergeCell ref="A14:G1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65.0"/>
    <col customWidth="1" min="3" max="26" width="8.71"/>
  </cols>
  <sheetData>
    <row r="1" ht="33.75" customHeight="1">
      <c r="A1" s="102" t="s">
        <v>224</v>
      </c>
      <c r="B1" s="103"/>
    </row>
    <row r="2" ht="19.5" customHeight="1">
      <c r="A2" s="104" t="s">
        <v>225</v>
      </c>
      <c r="B2" s="104" t="s">
        <v>226</v>
      </c>
    </row>
    <row r="3" ht="19.5" customHeight="1">
      <c r="A3" s="105" t="s">
        <v>8</v>
      </c>
      <c r="B3" s="105" t="s">
        <v>227</v>
      </c>
    </row>
    <row r="4" ht="19.5" customHeight="1">
      <c r="A4" s="106" t="s">
        <v>9</v>
      </c>
      <c r="B4" s="106" t="s">
        <v>228</v>
      </c>
    </row>
    <row r="5" ht="19.5" customHeight="1">
      <c r="A5" s="105" t="s">
        <v>10</v>
      </c>
      <c r="B5" s="105" t="s">
        <v>229</v>
      </c>
    </row>
    <row r="6" ht="19.5" customHeight="1">
      <c r="A6" s="106" t="s">
        <v>11</v>
      </c>
      <c r="B6" s="106" t="s">
        <v>230</v>
      </c>
    </row>
    <row r="7" ht="19.5" customHeight="1">
      <c r="A7" s="105" t="s">
        <v>12</v>
      </c>
      <c r="B7" s="105" t="s">
        <v>231</v>
      </c>
    </row>
    <row r="8" ht="19.5" customHeight="1">
      <c r="A8" s="106" t="s">
        <v>13</v>
      </c>
      <c r="B8" s="106" t="s">
        <v>232</v>
      </c>
    </row>
    <row r="9" ht="19.5" customHeight="1">
      <c r="A9" s="105" t="s">
        <v>14</v>
      </c>
      <c r="B9" s="105" t="s">
        <v>233</v>
      </c>
    </row>
    <row r="10" ht="19.5" customHeight="1">
      <c r="A10" s="106"/>
      <c r="B10" s="106"/>
    </row>
    <row r="11" ht="19.5" customHeight="1">
      <c r="A11" s="104" t="s">
        <v>234</v>
      </c>
      <c r="B11" s="104"/>
    </row>
    <row r="12" ht="19.5" customHeight="1">
      <c r="A12" s="106" t="s">
        <v>235</v>
      </c>
      <c r="B12" s="106" t="s">
        <v>236</v>
      </c>
    </row>
    <row r="13" ht="19.5" customHeight="1">
      <c r="A13" s="105" t="s">
        <v>237</v>
      </c>
      <c r="B13" s="105" t="s">
        <v>238</v>
      </c>
    </row>
    <row r="14" ht="19.5" customHeight="1">
      <c r="A14" s="106"/>
      <c r="B14" s="106"/>
    </row>
    <row r="15" ht="19.5" customHeight="1">
      <c r="A15" s="104" t="s">
        <v>239</v>
      </c>
      <c r="B15" s="104"/>
    </row>
    <row r="16" ht="19.5" customHeight="1">
      <c r="A16" s="106" t="s">
        <v>240</v>
      </c>
      <c r="B16" s="106" t="s">
        <v>241</v>
      </c>
    </row>
    <row r="17" ht="19.5" customHeight="1">
      <c r="A17" s="105" t="s">
        <v>242</v>
      </c>
      <c r="B17" s="105" t="s">
        <v>243</v>
      </c>
    </row>
    <row r="18" ht="19.5" customHeight="1">
      <c r="A18" s="106" t="s">
        <v>244</v>
      </c>
      <c r="B18" s="106" t="s">
        <v>245</v>
      </c>
    </row>
    <row r="19" ht="19.5" customHeight="1">
      <c r="A19" s="105" t="s">
        <v>246</v>
      </c>
      <c r="B19" s="105" t="s">
        <v>247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